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dmin/Desktop/"/>
    </mc:Choice>
  </mc:AlternateContent>
  <xr:revisionPtr revIDLastSave="0" documentId="8_{9C193875-466E-A74E-B6A8-4E06B74D40A9}" xr6:coauthVersionLast="47" xr6:coauthVersionMax="47" xr10:uidLastSave="{00000000-0000-0000-0000-000000000000}"/>
  <bookViews>
    <workbookView xWindow="0" yWindow="720" windowWidth="29400" windowHeight="18400" activeTab="5" xr2:uid="{00000000-000D-0000-FFFF-FFFF00000000}"/>
  </bookViews>
  <sheets>
    <sheet name="00 Cover" sheetId="1" r:id="rId1"/>
    <sheet name="01 Assumptions" sheetId="2" r:id="rId2"/>
    <sheet name="02 Model" sheetId="3" r:id="rId3"/>
    <sheet name="03 Schedules" sheetId="4" r:id="rId4"/>
    <sheet name="04 Audit &amp; Sources" sheetId="5" r:id="rId5"/>
    <sheet name="05 DCF Valuation" sheetId="6" r:id="rId6"/>
  </sheets>
  <definedNames>
    <definedName name="_xlnm.Print_Area" localSheetId="0">'00 Cover'!$C$1:$L$67</definedName>
    <definedName name="_xlnm.Print_Area" localSheetId="1">'01 Assumptions'!$C$1:$N$56</definedName>
    <definedName name="_xlnm.Print_Area" localSheetId="2">'02 Model'!$C$1:$N$137</definedName>
    <definedName name="_xlnm.Print_Area" localSheetId="3">'03 Schedules'!$C$1:$N$437</definedName>
    <definedName name="_xlnm.Print_Area" localSheetId="4">'04 Audit &amp; Sources'!$C$1:$L$719</definedName>
    <definedName name="_xlnm.Print_Area" localSheetId="5">'05 DCF Valuation'!$C$1:$L$371</definedName>
    <definedName name="_xlnm.Print_Titles" localSheetId="1">'01 Assumptions'!$1:$6</definedName>
    <definedName name="_xlnm.Print_Titles" localSheetId="2">'02 Model'!$1:$6</definedName>
    <definedName name="_xlnm.Print_Titles" localSheetId="3">'03 Schedules'!$1:$6</definedName>
    <definedName name="_xlnm.Print_Titles" localSheetId="4">'04 Audit &amp; Sources'!$1:$6</definedName>
    <definedName name="_xlnm.Print_Titles" localSheetId="5">'05 DCF Valuation'!$1:$5</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3" i="5" l="1"/>
  <c r="F126" i="5"/>
  <c r="F99" i="5"/>
  <c r="F72" i="5"/>
  <c r="F49" i="5"/>
  <c r="G49" i="5" s="1"/>
  <c r="F48" i="5"/>
  <c r="F28" i="5"/>
  <c r="F17" i="5"/>
  <c r="E17" i="5"/>
  <c r="G17" i="5" s="1"/>
  <c r="F15" i="5"/>
  <c r="G15" i="5" s="1"/>
  <c r="E15" i="5"/>
  <c r="F13" i="5"/>
  <c r="E13" i="5"/>
  <c r="F11" i="5"/>
  <c r="E11" i="5"/>
  <c r="G11" i="5" s="1"/>
  <c r="L379" i="4"/>
  <c r="K379" i="4"/>
  <c r="K25" i="3" s="1"/>
  <c r="J379" i="4"/>
  <c r="I379" i="4"/>
  <c r="I25" i="3" s="1"/>
  <c r="H379" i="4"/>
  <c r="L377" i="4"/>
  <c r="K377" i="4"/>
  <c r="J377" i="4"/>
  <c r="I377" i="4"/>
  <c r="H377" i="4"/>
  <c r="H23" i="3" s="1"/>
  <c r="L376" i="4"/>
  <c r="K376" i="4"/>
  <c r="K22" i="3" s="1"/>
  <c r="K90" i="6" s="1"/>
  <c r="J376" i="4"/>
  <c r="I376" i="4"/>
  <c r="H376" i="4"/>
  <c r="L375" i="4"/>
  <c r="K375" i="4"/>
  <c r="J375" i="4"/>
  <c r="J21" i="3" s="1"/>
  <c r="J90" i="6" s="1"/>
  <c r="I375" i="4"/>
  <c r="H375" i="4"/>
  <c r="H21" i="3" s="1"/>
  <c r="H90" i="6" s="1"/>
  <c r="L373" i="4"/>
  <c r="K373" i="4"/>
  <c r="J373" i="4"/>
  <c r="I373" i="4"/>
  <c r="H373" i="4"/>
  <c r="L372" i="4"/>
  <c r="L18" i="3" s="1"/>
  <c r="K372" i="4"/>
  <c r="J372" i="4"/>
  <c r="J18" i="3" s="1"/>
  <c r="I372" i="4"/>
  <c r="H372" i="4"/>
  <c r="L370" i="4"/>
  <c r="K370" i="4"/>
  <c r="J370" i="4"/>
  <c r="I370" i="4"/>
  <c r="I16" i="3" s="1"/>
  <c r="H370" i="4"/>
  <c r="H16" i="3" s="1"/>
  <c r="L366" i="4"/>
  <c r="K366" i="4"/>
  <c r="J366" i="4"/>
  <c r="I366" i="4"/>
  <c r="H366" i="4"/>
  <c r="L365" i="4"/>
  <c r="K365" i="4"/>
  <c r="K11" i="3" s="1"/>
  <c r="J365" i="4"/>
  <c r="I365" i="4"/>
  <c r="H365" i="4"/>
  <c r="L363" i="4"/>
  <c r="K363" i="4"/>
  <c r="J363" i="4"/>
  <c r="I363" i="4"/>
  <c r="H363" i="4"/>
  <c r="H9" i="3" s="1"/>
  <c r="L356" i="4"/>
  <c r="K356" i="4"/>
  <c r="J356" i="4"/>
  <c r="I356" i="4"/>
  <c r="H356" i="4"/>
  <c r="I352" i="4"/>
  <c r="J351" i="4"/>
  <c r="L349" i="4"/>
  <c r="K349" i="4"/>
  <c r="J349" i="4"/>
  <c r="I349" i="4"/>
  <c r="H349" i="4"/>
  <c r="H339" i="4"/>
  <c r="H340" i="4" s="1"/>
  <c r="H362" i="4" s="1"/>
  <c r="L330" i="4"/>
  <c r="K330" i="4"/>
  <c r="J330" i="4"/>
  <c r="I330" i="4"/>
  <c r="H330" i="4"/>
  <c r="L328" i="4"/>
  <c r="K328" i="4"/>
  <c r="J328" i="4"/>
  <c r="I328" i="4"/>
  <c r="H328" i="4"/>
  <c r="L322" i="4"/>
  <c r="L308" i="4" s="1"/>
  <c r="L320" i="4"/>
  <c r="K320" i="4"/>
  <c r="J320" i="4"/>
  <c r="J322" i="4" s="1"/>
  <c r="I320" i="4"/>
  <c r="I322" i="4" s="1"/>
  <c r="I308" i="4" s="1"/>
  <c r="L316" i="4"/>
  <c r="K316" i="4"/>
  <c r="J316" i="4"/>
  <c r="I316" i="4"/>
  <c r="J308" i="4"/>
  <c r="L302" i="4"/>
  <c r="L249" i="4" s="1"/>
  <c r="F154" i="5" s="1"/>
  <c r="K302" i="4"/>
  <c r="K249" i="4" s="1"/>
  <c r="F127" i="5" s="1"/>
  <c r="J302" i="4"/>
  <c r="I302" i="4"/>
  <c r="H302" i="4"/>
  <c r="H249" i="4" s="1"/>
  <c r="H290" i="4"/>
  <c r="H286" i="4"/>
  <c r="H282" i="4"/>
  <c r="H274" i="4"/>
  <c r="I270" i="4"/>
  <c r="I85" i="3" s="1"/>
  <c r="H270" i="4"/>
  <c r="H269" i="4"/>
  <c r="I269" i="4" s="1"/>
  <c r="J269" i="4" s="1"/>
  <c r="K269" i="4" s="1"/>
  <c r="L269" i="4" s="1"/>
  <c r="L84" i="3" s="1"/>
  <c r="I268" i="4"/>
  <c r="J268" i="4" s="1"/>
  <c r="K268" i="4" s="1"/>
  <c r="L268" i="4" s="1"/>
  <c r="H268" i="4"/>
  <c r="H267" i="4"/>
  <c r="I267" i="4" s="1"/>
  <c r="H266" i="4"/>
  <c r="I266" i="4" s="1"/>
  <c r="J266" i="4" s="1"/>
  <c r="K266" i="4" s="1"/>
  <c r="L266" i="4" s="1"/>
  <c r="L81" i="3" s="1"/>
  <c r="H265" i="4"/>
  <c r="I265" i="4" s="1"/>
  <c r="I79" i="3" s="1"/>
  <c r="H264" i="4"/>
  <c r="H294" i="4" s="1"/>
  <c r="L263" i="4"/>
  <c r="K263" i="4"/>
  <c r="J263" i="4"/>
  <c r="I263" i="4"/>
  <c r="H263" i="4"/>
  <c r="L262" i="4"/>
  <c r="K262" i="4"/>
  <c r="K69" i="3" s="1"/>
  <c r="J262" i="4"/>
  <c r="I262" i="4"/>
  <c r="H262" i="4"/>
  <c r="H261" i="4"/>
  <c r="L259" i="4"/>
  <c r="K259" i="4"/>
  <c r="J259" i="4"/>
  <c r="I259" i="4"/>
  <c r="I61" i="3" s="1"/>
  <c r="H259" i="4"/>
  <c r="L258" i="4"/>
  <c r="L215" i="4" s="1"/>
  <c r="K258" i="4"/>
  <c r="J258" i="4"/>
  <c r="I258" i="4"/>
  <c r="I50" i="3" s="1"/>
  <c r="H258" i="4"/>
  <c r="L257" i="4"/>
  <c r="K257" i="4"/>
  <c r="K49" i="3" s="1"/>
  <c r="J257" i="4"/>
  <c r="I257" i="4"/>
  <c r="I49" i="3" s="1"/>
  <c r="H257" i="4"/>
  <c r="H49" i="3" s="1"/>
  <c r="L256" i="4"/>
  <c r="K256" i="4"/>
  <c r="K42" i="3" s="1"/>
  <c r="J256" i="4"/>
  <c r="I256" i="4"/>
  <c r="H256" i="4"/>
  <c r="H42" i="3" s="1"/>
  <c r="H255" i="4"/>
  <c r="H278" i="4" s="1"/>
  <c r="L252" i="4"/>
  <c r="H252" i="4"/>
  <c r="L251" i="4"/>
  <c r="K251" i="4"/>
  <c r="J251" i="4"/>
  <c r="I251" i="4"/>
  <c r="H251" i="4"/>
  <c r="L250" i="4"/>
  <c r="K250" i="4"/>
  <c r="J250" i="4"/>
  <c r="I250" i="4"/>
  <c r="H250" i="4"/>
  <c r="J249" i="4"/>
  <c r="F100" i="5" s="1"/>
  <c r="L248" i="4"/>
  <c r="K248" i="4"/>
  <c r="J248" i="4"/>
  <c r="I248" i="4"/>
  <c r="H248" i="4"/>
  <c r="L247" i="4"/>
  <c r="K247" i="4"/>
  <c r="J247" i="4"/>
  <c r="I247" i="4"/>
  <c r="H247" i="4"/>
  <c r="L246" i="4"/>
  <c r="L353" i="4" s="1"/>
  <c r="K246" i="4"/>
  <c r="K353" i="4" s="1"/>
  <c r="J246" i="4"/>
  <c r="J353" i="4" s="1"/>
  <c r="I246" i="4"/>
  <c r="I353" i="4" s="1"/>
  <c r="H246" i="4"/>
  <c r="H353" i="4" s="1"/>
  <c r="L245" i="4"/>
  <c r="K245" i="4"/>
  <c r="J245" i="4"/>
  <c r="I245" i="4"/>
  <c r="H245" i="4"/>
  <c r="H244" i="4"/>
  <c r="F50" i="5" s="1"/>
  <c r="L243" i="4"/>
  <c r="K243" i="4"/>
  <c r="J243" i="4"/>
  <c r="I243" i="4"/>
  <c r="H243" i="4"/>
  <c r="H241" i="4"/>
  <c r="L237" i="4"/>
  <c r="K237" i="4"/>
  <c r="J237" i="4"/>
  <c r="I237" i="4"/>
  <c r="H237" i="4"/>
  <c r="H235" i="4"/>
  <c r="L231" i="4"/>
  <c r="K231" i="4"/>
  <c r="J231" i="4"/>
  <c r="I231" i="4"/>
  <c r="H231" i="4"/>
  <c r="L230" i="4"/>
  <c r="K230" i="4"/>
  <c r="J230" i="4"/>
  <c r="I230" i="4"/>
  <c r="H230" i="4"/>
  <c r="H229" i="4"/>
  <c r="H236" i="4" s="1"/>
  <c r="L228" i="4"/>
  <c r="K228" i="4"/>
  <c r="J228" i="4"/>
  <c r="I228" i="4"/>
  <c r="H228" i="4"/>
  <c r="H227" i="4"/>
  <c r="H232" i="4" s="1"/>
  <c r="I227" i="4" s="1"/>
  <c r="K215" i="4"/>
  <c r="J215" i="4"/>
  <c r="I215" i="4"/>
  <c r="L199" i="4"/>
  <c r="K199" i="4"/>
  <c r="J199" i="4"/>
  <c r="I199" i="4"/>
  <c r="H199" i="4"/>
  <c r="H193" i="4"/>
  <c r="K189" i="4"/>
  <c r="J189" i="4"/>
  <c r="L188" i="4"/>
  <c r="K188" i="4"/>
  <c r="J188" i="4"/>
  <c r="I188" i="4"/>
  <c r="L186" i="4"/>
  <c r="L156" i="4" s="1"/>
  <c r="L57" i="3" s="1"/>
  <c r="K186" i="4"/>
  <c r="K156" i="4" s="1"/>
  <c r="J186" i="4"/>
  <c r="I186" i="4"/>
  <c r="I156" i="4" s="1"/>
  <c r="I57" i="3" s="1"/>
  <c r="L184" i="4"/>
  <c r="K184" i="4"/>
  <c r="J184" i="4"/>
  <c r="I184" i="4"/>
  <c r="L183" i="4"/>
  <c r="K183" i="4"/>
  <c r="J183" i="4"/>
  <c r="I183" i="4"/>
  <c r="I182" i="4"/>
  <c r="L180" i="4"/>
  <c r="L127" i="3" s="1"/>
  <c r="L194" i="4" s="1"/>
  <c r="K180" i="4"/>
  <c r="J180" i="4"/>
  <c r="J127" i="3" s="1"/>
  <c r="J194" i="4" s="1"/>
  <c r="I180" i="4"/>
  <c r="I179" i="4"/>
  <c r="I181" i="4" s="1"/>
  <c r="J179" i="4" s="1"/>
  <c r="J181" i="4" s="1"/>
  <c r="K179" i="4" s="1"/>
  <c r="K181" i="4" s="1"/>
  <c r="L179" i="4" s="1"/>
  <c r="L181" i="4" s="1"/>
  <c r="L177" i="4"/>
  <c r="L126" i="3" s="1"/>
  <c r="L195" i="4" s="1"/>
  <c r="K177" i="4"/>
  <c r="K126" i="3" s="1"/>
  <c r="K195" i="4" s="1"/>
  <c r="I177" i="4"/>
  <c r="I176" i="4"/>
  <c r="I178" i="4" s="1"/>
  <c r="L173" i="4"/>
  <c r="K173" i="4"/>
  <c r="J173" i="4"/>
  <c r="I173" i="4"/>
  <c r="H173" i="4"/>
  <c r="H171" i="4"/>
  <c r="L169" i="4"/>
  <c r="K169" i="4"/>
  <c r="J169" i="4"/>
  <c r="I169" i="4"/>
  <c r="H169" i="4"/>
  <c r="L167" i="4"/>
  <c r="K167" i="4"/>
  <c r="J167" i="4"/>
  <c r="I167" i="4"/>
  <c r="H167" i="4"/>
  <c r="H163" i="4"/>
  <c r="H166" i="4" s="1"/>
  <c r="H158" i="4"/>
  <c r="K157" i="4"/>
  <c r="J157" i="4"/>
  <c r="J142" i="4" s="1"/>
  <c r="H157" i="4"/>
  <c r="J156" i="4"/>
  <c r="H156" i="4"/>
  <c r="H159" i="4" s="1"/>
  <c r="K142" i="4"/>
  <c r="L136" i="4"/>
  <c r="K136" i="4"/>
  <c r="J136" i="4"/>
  <c r="I136" i="4"/>
  <c r="H136" i="4"/>
  <c r="H132" i="4"/>
  <c r="L128" i="4"/>
  <c r="K128" i="4"/>
  <c r="J128" i="4"/>
  <c r="I128" i="4"/>
  <c r="H128" i="4"/>
  <c r="L126" i="4"/>
  <c r="K126" i="4"/>
  <c r="J126" i="4"/>
  <c r="I126" i="4"/>
  <c r="H126" i="4"/>
  <c r="L124" i="4"/>
  <c r="K124" i="4"/>
  <c r="J124" i="4"/>
  <c r="I124" i="4"/>
  <c r="H124" i="4"/>
  <c r="L117" i="4"/>
  <c r="K117" i="4"/>
  <c r="J117" i="4"/>
  <c r="I117" i="4"/>
  <c r="H117" i="4"/>
  <c r="L116" i="4"/>
  <c r="K116" i="4"/>
  <c r="J116" i="4"/>
  <c r="I116" i="4"/>
  <c r="H116" i="4"/>
  <c r="L114" i="4"/>
  <c r="K114" i="4"/>
  <c r="J114" i="4"/>
  <c r="I114" i="4"/>
  <c r="H114" i="4"/>
  <c r="H113" i="4"/>
  <c r="H112" i="4"/>
  <c r="L110" i="4"/>
  <c r="K110" i="4"/>
  <c r="J110" i="4"/>
  <c r="I110" i="4"/>
  <c r="H110" i="4"/>
  <c r="H106" i="4"/>
  <c r="I103" i="4"/>
  <c r="J103" i="4" s="1"/>
  <c r="J113" i="4" s="1"/>
  <c r="L89" i="4"/>
  <c r="K89" i="4"/>
  <c r="J89" i="4"/>
  <c r="I89" i="4"/>
  <c r="H89" i="4"/>
  <c r="L84" i="4"/>
  <c r="K84" i="4"/>
  <c r="J84" i="4"/>
  <c r="I84" i="4"/>
  <c r="H84" i="4"/>
  <c r="L83" i="4"/>
  <c r="K83" i="4"/>
  <c r="J83" i="4"/>
  <c r="I83" i="4"/>
  <c r="H83" i="4"/>
  <c r="L82" i="4"/>
  <c r="K82" i="4"/>
  <c r="J82" i="4"/>
  <c r="I82" i="4"/>
  <c r="H82" i="4"/>
  <c r="L81" i="4"/>
  <c r="K81" i="4"/>
  <c r="J81" i="4"/>
  <c r="I81" i="4"/>
  <c r="H81" i="4"/>
  <c r="L79" i="4"/>
  <c r="K79" i="4"/>
  <c r="J79" i="4"/>
  <c r="I79" i="4"/>
  <c r="H79" i="4"/>
  <c r="L78" i="4"/>
  <c r="K78" i="4"/>
  <c r="J78" i="4"/>
  <c r="I78" i="4"/>
  <c r="H78" i="4"/>
  <c r="L77" i="4"/>
  <c r="F159" i="5" s="1"/>
  <c r="K77" i="4"/>
  <c r="F132" i="5" s="1"/>
  <c r="G132" i="5" s="1"/>
  <c r="J77" i="4"/>
  <c r="F105" i="5" s="1"/>
  <c r="I77" i="4"/>
  <c r="F78" i="5" s="1"/>
  <c r="H77" i="4"/>
  <c r="H76" i="4"/>
  <c r="L73" i="4"/>
  <c r="K73" i="4"/>
  <c r="J73" i="4"/>
  <c r="I73" i="4"/>
  <c r="H73" i="4"/>
  <c r="L72" i="4"/>
  <c r="L350" i="4" s="1"/>
  <c r="K72" i="4"/>
  <c r="K350" i="4" s="1"/>
  <c r="J72" i="4"/>
  <c r="J350" i="4" s="1"/>
  <c r="I72" i="4"/>
  <c r="I350" i="4" s="1"/>
  <c r="H72" i="4"/>
  <c r="H350" i="4" s="1"/>
  <c r="L71" i="4"/>
  <c r="K71" i="4"/>
  <c r="J71" i="4"/>
  <c r="I71" i="4"/>
  <c r="H71" i="4"/>
  <c r="L70" i="4"/>
  <c r="K70" i="4"/>
  <c r="J70" i="4"/>
  <c r="I70" i="4"/>
  <c r="H70" i="4"/>
  <c r="L69" i="4"/>
  <c r="E159" i="5" s="1"/>
  <c r="K69" i="4"/>
  <c r="E132" i="5" s="1"/>
  <c r="J69" i="4"/>
  <c r="E105" i="5" s="1"/>
  <c r="I69" i="4"/>
  <c r="E78" i="5" s="1"/>
  <c r="H69" i="4"/>
  <c r="H74" i="4" s="1"/>
  <c r="I68" i="4" s="1"/>
  <c r="H68" i="4"/>
  <c r="L49" i="4"/>
  <c r="K49" i="4"/>
  <c r="J49" i="4"/>
  <c r="I49" i="4"/>
  <c r="H49" i="4"/>
  <c r="L48" i="4"/>
  <c r="L352" i="4" s="1"/>
  <c r="K48" i="4"/>
  <c r="K352" i="4" s="1"/>
  <c r="J48" i="4"/>
  <c r="J352" i="4" s="1"/>
  <c r="I48" i="4"/>
  <c r="H48" i="4"/>
  <c r="H352" i="4" s="1"/>
  <c r="I47" i="4"/>
  <c r="I354" i="4" s="1"/>
  <c r="H47" i="4"/>
  <c r="H354" i="4" s="1"/>
  <c r="H46" i="4"/>
  <c r="L43" i="4"/>
  <c r="K43" i="4"/>
  <c r="J43" i="4"/>
  <c r="I43" i="4"/>
  <c r="H43" i="4"/>
  <c r="L42" i="4"/>
  <c r="L351" i="4" s="1"/>
  <c r="K42" i="4"/>
  <c r="K351" i="4" s="1"/>
  <c r="J42" i="4"/>
  <c r="I42" i="4"/>
  <c r="I351" i="4" s="1"/>
  <c r="H42" i="4"/>
  <c r="H351" i="4" s="1"/>
  <c r="L41" i="4"/>
  <c r="K41" i="4"/>
  <c r="K106" i="3" s="1"/>
  <c r="J41" i="4"/>
  <c r="J106" i="3" s="1"/>
  <c r="I41" i="4"/>
  <c r="I106" i="3" s="1"/>
  <c r="H41" i="4"/>
  <c r="H106" i="3" s="1"/>
  <c r="H40" i="4"/>
  <c r="L22" i="4"/>
  <c r="K22" i="4"/>
  <c r="J22" i="4"/>
  <c r="I22" i="4"/>
  <c r="H22" i="4"/>
  <c r="L21" i="4"/>
  <c r="L348" i="4" s="1"/>
  <c r="K21" i="4"/>
  <c r="K348" i="4" s="1"/>
  <c r="K97" i="6" s="1"/>
  <c r="J21" i="4"/>
  <c r="J348" i="4" s="1"/>
  <c r="I21" i="4"/>
  <c r="I348" i="4" s="1"/>
  <c r="H21" i="4"/>
  <c r="H348" i="4" s="1"/>
  <c r="J20" i="4"/>
  <c r="J102" i="3" s="1"/>
  <c r="H19" i="4"/>
  <c r="L12" i="4"/>
  <c r="L20" i="4" s="1"/>
  <c r="L102" i="3" s="1"/>
  <c r="K12" i="4"/>
  <c r="K20" i="4" s="1"/>
  <c r="K102" i="3" s="1"/>
  <c r="K33" i="1" s="1"/>
  <c r="J12" i="4"/>
  <c r="I12" i="4"/>
  <c r="I20" i="4" s="1"/>
  <c r="I102" i="3" s="1"/>
  <c r="H12" i="4"/>
  <c r="H20" i="4" s="1"/>
  <c r="L136" i="3"/>
  <c r="K136" i="3"/>
  <c r="J136" i="3"/>
  <c r="I136" i="3"/>
  <c r="H136" i="3"/>
  <c r="L135" i="3"/>
  <c r="K135" i="3"/>
  <c r="K314" i="4" s="1"/>
  <c r="J135" i="3"/>
  <c r="J314" i="4" s="1"/>
  <c r="I135" i="3"/>
  <c r="H135" i="3"/>
  <c r="H134" i="3"/>
  <c r="H130" i="3"/>
  <c r="L129" i="3"/>
  <c r="E154" i="5" s="1"/>
  <c r="J129" i="3"/>
  <c r="E100" i="5" s="1"/>
  <c r="H129" i="3"/>
  <c r="E49" i="5" s="1"/>
  <c r="L128" i="3"/>
  <c r="J128" i="3"/>
  <c r="J252" i="4" s="1"/>
  <c r="H128" i="3"/>
  <c r="K127" i="3"/>
  <c r="K194" i="4" s="1"/>
  <c r="I127" i="3"/>
  <c r="I194" i="4" s="1"/>
  <c r="H127" i="3"/>
  <c r="H194" i="4" s="1"/>
  <c r="I126" i="3"/>
  <c r="I195" i="4" s="1"/>
  <c r="H126" i="3"/>
  <c r="H195" i="4" s="1"/>
  <c r="L125" i="3"/>
  <c r="K125" i="3"/>
  <c r="J125" i="3"/>
  <c r="I125" i="3"/>
  <c r="H125" i="3"/>
  <c r="L124" i="3"/>
  <c r="K124" i="3"/>
  <c r="J124" i="3"/>
  <c r="I124" i="3"/>
  <c r="H124" i="3"/>
  <c r="L121" i="3"/>
  <c r="K121" i="3"/>
  <c r="J121" i="3"/>
  <c r="I121" i="3"/>
  <c r="H121" i="3"/>
  <c r="L120" i="3"/>
  <c r="K120" i="3"/>
  <c r="J120" i="3"/>
  <c r="I120" i="3"/>
  <c r="H120" i="3"/>
  <c r="L119" i="3"/>
  <c r="K119" i="3"/>
  <c r="J119" i="3"/>
  <c r="I119" i="3"/>
  <c r="H119" i="3"/>
  <c r="H196" i="4" s="1"/>
  <c r="L118" i="3"/>
  <c r="K118" i="3"/>
  <c r="J118" i="3"/>
  <c r="I118" i="3"/>
  <c r="H118" i="3"/>
  <c r="L117" i="3"/>
  <c r="K117" i="3"/>
  <c r="J117" i="3"/>
  <c r="I117" i="3"/>
  <c r="H117" i="3"/>
  <c r="L116" i="3"/>
  <c r="K116" i="3"/>
  <c r="J116" i="3"/>
  <c r="I116" i="3"/>
  <c r="H116" i="3"/>
  <c r="L115" i="3"/>
  <c r="K115" i="3"/>
  <c r="J115" i="3"/>
  <c r="I115" i="3"/>
  <c r="H115" i="3"/>
  <c r="H114" i="3"/>
  <c r="L110" i="3"/>
  <c r="K110" i="3"/>
  <c r="J110" i="3"/>
  <c r="I110" i="3"/>
  <c r="H110" i="3"/>
  <c r="L109" i="3"/>
  <c r="K109" i="3"/>
  <c r="J109" i="3"/>
  <c r="I109" i="3"/>
  <c r="H109" i="3"/>
  <c r="L108" i="3"/>
  <c r="K108" i="3"/>
  <c r="J108" i="3"/>
  <c r="I108" i="3"/>
  <c r="H108" i="3"/>
  <c r="L107" i="3"/>
  <c r="K107" i="3"/>
  <c r="J107" i="3"/>
  <c r="I107" i="3"/>
  <c r="H107" i="3"/>
  <c r="L106" i="3"/>
  <c r="L105" i="3"/>
  <c r="K105" i="3"/>
  <c r="J105" i="3"/>
  <c r="I105" i="3"/>
  <c r="H105" i="3"/>
  <c r="L104" i="3"/>
  <c r="K104" i="3"/>
  <c r="J104" i="3"/>
  <c r="I104" i="3"/>
  <c r="H104" i="3"/>
  <c r="L103" i="3"/>
  <c r="K103" i="3"/>
  <c r="J103" i="3"/>
  <c r="I103" i="3"/>
  <c r="H103" i="3"/>
  <c r="H102" i="3"/>
  <c r="H98" i="3"/>
  <c r="F89" i="3"/>
  <c r="G87" i="3"/>
  <c r="G89" i="3" s="1"/>
  <c r="F87" i="3"/>
  <c r="E87" i="3"/>
  <c r="E89" i="3" s="1"/>
  <c r="D87" i="3"/>
  <c r="D89" i="3" s="1"/>
  <c r="H85" i="3"/>
  <c r="K84" i="3"/>
  <c r="J84" i="3"/>
  <c r="H84" i="3"/>
  <c r="L83" i="3"/>
  <c r="K83" i="3"/>
  <c r="I83" i="3"/>
  <c r="H83" i="3"/>
  <c r="H82" i="3"/>
  <c r="J81" i="3"/>
  <c r="I81" i="3"/>
  <c r="H81" i="3"/>
  <c r="H78" i="3"/>
  <c r="G72" i="3"/>
  <c r="F72" i="3"/>
  <c r="E72" i="3"/>
  <c r="D72" i="3"/>
  <c r="H71" i="3"/>
  <c r="I290" i="4" s="1"/>
  <c r="I294" i="4" s="1"/>
  <c r="L70" i="3"/>
  <c r="K70" i="3"/>
  <c r="J70" i="3"/>
  <c r="I70" i="3"/>
  <c r="H70" i="3"/>
  <c r="L69" i="3"/>
  <c r="J69" i="3"/>
  <c r="I69" i="3"/>
  <c r="H69" i="3"/>
  <c r="H67" i="3"/>
  <c r="I282" i="4" s="1"/>
  <c r="I286" i="4" s="1"/>
  <c r="H66" i="3"/>
  <c r="G63" i="3"/>
  <c r="F63" i="3"/>
  <c r="F73" i="3" s="1"/>
  <c r="F14" i="5" s="1"/>
  <c r="E63" i="3"/>
  <c r="D63" i="3"/>
  <c r="D73" i="3" s="1"/>
  <c r="F10" i="5" s="1"/>
  <c r="L61" i="3"/>
  <c r="K61" i="3"/>
  <c r="J61" i="3"/>
  <c r="H61" i="3"/>
  <c r="K58" i="3"/>
  <c r="H58" i="3"/>
  <c r="J57" i="3"/>
  <c r="H57" i="3"/>
  <c r="G52" i="3"/>
  <c r="F52" i="3"/>
  <c r="E52" i="3"/>
  <c r="D52" i="3"/>
  <c r="L50" i="3"/>
  <c r="J50" i="3"/>
  <c r="H50" i="3"/>
  <c r="L49" i="3"/>
  <c r="J49" i="3"/>
  <c r="L48" i="3"/>
  <c r="K48" i="3"/>
  <c r="J48" i="3"/>
  <c r="I48" i="3"/>
  <c r="H48" i="3"/>
  <c r="G43" i="3"/>
  <c r="F43" i="3"/>
  <c r="F53" i="3" s="1"/>
  <c r="E43" i="3"/>
  <c r="D43" i="3"/>
  <c r="D53" i="3" s="1"/>
  <c r="L42" i="3"/>
  <c r="J42" i="3"/>
  <c r="I42" i="3"/>
  <c r="H41" i="3"/>
  <c r="I274" i="4" s="1"/>
  <c r="I278" i="4" s="1"/>
  <c r="L25" i="3"/>
  <c r="J25" i="3"/>
  <c r="H25" i="3"/>
  <c r="L23" i="3"/>
  <c r="K23" i="3"/>
  <c r="J23" i="3"/>
  <c r="I23" i="3"/>
  <c r="L22" i="3"/>
  <c r="J22" i="3"/>
  <c r="I22" i="3"/>
  <c r="H22" i="3"/>
  <c r="L21" i="3"/>
  <c r="K21" i="3"/>
  <c r="I21" i="3"/>
  <c r="L19" i="3"/>
  <c r="K19" i="3"/>
  <c r="J19" i="3"/>
  <c r="I19" i="3"/>
  <c r="H19" i="3"/>
  <c r="K18" i="3"/>
  <c r="I18" i="3"/>
  <c r="H18" i="3"/>
  <c r="G18" i="3"/>
  <c r="F18" i="3"/>
  <c r="E18" i="3"/>
  <c r="D18" i="3"/>
  <c r="L16" i="3"/>
  <c r="K16" i="3"/>
  <c r="J16" i="3"/>
  <c r="G16" i="3"/>
  <c r="F16" i="3"/>
  <c r="E16" i="3"/>
  <c r="D16" i="3"/>
  <c r="D14" i="3"/>
  <c r="G13" i="3"/>
  <c r="G14" i="3" s="1"/>
  <c r="F13" i="3"/>
  <c r="F20" i="3" s="1"/>
  <c r="F24" i="3" s="1"/>
  <c r="F28" i="3" s="1"/>
  <c r="E13" i="3"/>
  <c r="E20" i="3" s="1"/>
  <c r="E24" i="3" s="1"/>
  <c r="E28" i="3" s="1"/>
  <c r="D13" i="3"/>
  <c r="D20" i="3" s="1"/>
  <c r="D24" i="3" s="1"/>
  <c r="D28" i="3" s="1"/>
  <c r="D30" i="3" s="1"/>
  <c r="L12" i="3"/>
  <c r="K12" i="3"/>
  <c r="J12" i="3"/>
  <c r="I12" i="3"/>
  <c r="H12" i="3"/>
  <c r="L11" i="3"/>
  <c r="J11" i="3"/>
  <c r="I11" i="3"/>
  <c r="H11" i="3"/>
  <c r="G11" i="3"/>
  <c r="F11" i="3"/>
  <c r="E11" i="3"/>
  <c r="D11" i="3"/>
  <c r="L9" i="3"/>
  <c r="K9" i="3"/>
  <c r="J9" i="3"/>
  <c r="I9" i="3"/>
  <c r="G9" i="3"/>
  <c r="F9" i="3"/>
  <c r="E9" i="3"/>
  <c r="N53" i="1"/>
  <c r="N52" i="1"/>
  <c r="N51" i="1"/>
  <c r="N50" i="1"/>
  <c r="N49" i="1"/>
  <c r="N48" i="1"/>
  <c r="N47" i="1"/>
  <c r="N46" i="1"/>
  <c r="N45" i="1"/>
  <c r="H37" i="1"/>
  <c r="G37" i="1"/>
  <c r="F37" i="1"/>
  <c r="E37" i="1"/>
  <c r="D37" i="1"/>
  <c r="L36" i="1"/>
  <c r="J36" i="1"/>
  <c r="H36" i="1"/>
  <c r="G36" i="1"/>
  <c r="F36" i="1"/>
  <c r="E36" i="1"/>
  <c r="D36" i="1"/>
  <c r="G35" i="1"/>
  <c r="F35" i="1"/>
  <c r="E35" i="1"/>
  <c r="D35" i="1"/>
  <c r="G34" i="1"/>
  <c r="F34" i="1"/>
  <c r="E34" i="1"/>
  <c r="D34" i="1"/>
  <c r="G33" i="1"/>
  <c r="F33" i="1"/>
  <c r="E33" i="1"/>
  <c r="D33" i="1"/>
  <c r="D32" i="1"/>
  <c r="E31" i="1"/>
  <c r="P46" i="1" s="1"/>
  <c r="F30" i="1"/>
  <c r="O47" i="1" s="1"/>
  <c r="E30" i="1"/>
  <c r="O46" i="1" s="1"/>
  <c r="D30" i="1"/>
  <c r="O45" i="1" s="1"/>
  <c r="G29" i="1"/>
  <c r="F29" i="1"/>
  <c r="E29" i="1"/>
  <c r="D29" i="1"/>
  <c r="G28" i="1"/>
  <c r="F28" i="1"/>
  <c r="E28" i="1"/>
  <c r="D28" i="1"/>
  <c r="K367" i="6"/>
  <c r="J367" i="6"/>
  <c r="H367" i="6"/>
  <c r="K366" i="6"/>
  <c r="L366" i="6" s="1"/>
  <c r="J366" i="6"/>
  <c r="H366" i="6"/>
  <c r="K365" i="6"/>
  <c r="J365" i="6"/>
  <c r="H365" i="6"/>
  <c r="K364" i="6"/>
  <c r="J364" i="6"/>
  <c r="L364" i="6" s="1"/>
  <c r="H364" i="6"/>
  <c r="K363" i="6"/>
  <c r="J363" i="6"/>
  <c r="H363" i="6"/>
  <c r="K362" i="6"/>
  <c r="L362" i="6" s="1"/>
  <c r="J362" i="6"/>
  <c r="H362" i="6"/>
  <c r="K361" i="6"/>
  <c r="J361" i="6"/>
  <c r="H361" i="6"/>
  <c r="G244" i="6"/>
  <c r="H237" i="6"/>
  <c r="H235" i="6"/>
  <c r="G235" i="6"/>
  <c r="G207" i="6"/>
  <c r="G193" i="6"/>
  <c r="G195" i="6" s="1"/>
  <c r="G191" i="6"/>
  <c r="G190" i="6"/>
  <c r="G189" i="6"/>
  <c r="G187" i="6"/>
  <c r="G186" i="6"/>
  <c r="G185" i="6"/>
  <c r="G183" i="6"/>
  <c r="L104" i="6" s="1"/>
  <c r="G182" i="6"/>
  <c r="H254" i="6" s="1"/>
  <c r="G254" i="6" s="1"/>
  <c r="G180" i="6"/>
  <c r="G179" i="6"/>
  <c r="G160" i="6"/>
  <c r="I136" i="6"/>
  <c r="L135" i="6"/>
  <c r="L136" i="6" s="1"/>
  <c r="K135" i="6"/>
  <c r="K136" i="6" s="1"/>
  <c r="J135" i="6"/>
  <c r="J136" i="6" s="1"/>
  <c r="I135" i="6"/>
  <c r="H135" i="6"/>
  <c r="H136" i="6" s="1"/>
  <c r="L113" i="6"/>
  <c r="K113" i="6"/>
  <c r="J113" i="6"/>
  <c r="I113" i="6"/>
  <c r="H113" i="6"/>
  <c r="J104" i="6"/>
  <c r="I104" i="6"/>
  <c r="H104" i="6"/>
  <c r="H106" i="6" s="1"/>
  <c r="L100" i="6"/>
  <c r="K100" i="6"/>
  <c r="L99" i="6"/>
  <c r="K99" i="6"/>
  <c r="J99" i="6"/>
  <c r="I99" i="6"/>
  <c r="H99" i="6"/>
  <c r="L98" i="6"/>
  <c r="K98" i="6"/>
  <c r="J98" i="6"/>
  <c r="I98" i="6"/>
  <c r="H98" i="6"/>
  <c r="L97" i="6"/>
  <c r="J97" i="6"/>
  <c r="I97" i="6"/>
  <c r="H97" i="6"/>
  <c r="L94" i="6"/>
  <c r="G154" i="6" s="1"/>
  <c r="K94" i="6"/>
  <c r="J94" i="6"/>
  <c r="I94" i="6"/>
  <c r="H94" i="6"/>
  <c r="L92" i="6"/>
  <c r="K92" i="6"/>
  <c r="J92" i="6"/>
  <c r="I92" i="6"/>
  <c r="H92" i="6"/>
  <c r="L91" i="6"/>
  <c r="K91" i="6"/>
  <c r="J91" i="6"/>
  <c r="I91" i="6"/>
  <c r="H91" i="6"/>
  <c r="L90" i="6"/>
  <c r="I90" i="6"/>
  <c r="L87" i="6"/>
  <c r="H139" i="6" s="1"/>
  <c r="H248" i="6" s="1"/>
  <c r="G248" i="6" s="1"/>
  <c r="K87" i="6"/>
  <c r="J87" i="6"/>
  <c r="I87" i="6"/>
  <c r="H87" i="6"/>
  <c r="L86" i="6"/>
  <c r="K86" i="6"/>
  <c r="J86" i="6"/>
  <c r="I86" i="6"/>
  <c r="H86" i="6"/>
  <c r="H238" i="6" s="1"/>
  <c r="L84" i="6"/>
  <c r="K84" i="6"/>
  <c r="J84" i="6"/>
  <c r="I84" i="6"/>
  <c r="H84" i="6"/>
  <c r="G68" i="6"/>
  <c r="H240" i="6" s="1"/>
  <c r="G67" i="6"/>
  <c r="G69" i="6" s="1"/>
  <c r="G65" i="6"/>
  <c r="G63" i="6"/>
  <c r="G60" i="6"/>
  <c r="G56" i="6"/>
  <c r="G58" i="6" s="1"/>
  <c r="G201" i="6" s="1"/>
  <c r="G52" i="6"/>
  <c r="G241" i="6" s="1"/>
  <c r="I40" i="6"/>
  <c r="L25" i="6"/>
  <c r="K25" i="6"/>
  <c r="J25" i="6"/>
  <c r="I25" i="6"/>
  <c r="H25" i="6"/>
  <c r="G17" i="6"/>
  <c r="G14" i="6"/>
  <c r="J33" i="1" l="1"/>
  <c r="J100" i="6"/>
  <c r="I193" i="4"/>
  <c r="E29" i="5"/>
  <c r="H364" i="4"/>
  <c r="H127" i="4"/>
  <c r="H129" i="4"/>
  <c r="H120" i="4"/>
  <c r="H115" i="4" s="1"/>
  <c r="H8" i="3"/>
  <c r="I33" i="1"/>
  <c r="I100" i="6"/>
  <c r="H100" i="6"/>
  <c r="H33" i="1"/>
  <c r="E53" i="3"/>
  <c r="E75" i="3" s="1"/>
  <c r="E73" i="3"/>
  <c r="F12" i="5" s="1"/>
  <c r="K129" i="3"/>
  <c r="L314" i="4"/>
  <c r="H238" i="4"/>
  <c r="H80" i="3" s="1"/>
  <c r="G181" i="6"/>
  <c r="G357" i="6" s="1"/>
  <c r="G53" i="3"/>
  <c r="G73" i="3"/>
  <c r="F16" i="5" s="1"/>
  <c r="I84" i="3"/>
  <c r="I196" i="4"/>
  <c r="F43" i="5"/>
  <c r="I185" i="4"/>
  <c r="J182" i="4" s="1"/>
  <c r="J185" i="4" s="1"/>
  <c r="K182" i="4" s="1"/>
  <c r="K185" i="4" s="1"/>
  <c r="L182" i="4" s="1"/>
  <c r="L185" i="4" s="1"/>
  <c r="L189" i="4" s="1"/>
  <c r="L157" i="4" s="1"/>
  <c r="J265" i="4"/>
  <c r="K265" i="4" s="1"/>
  <c r="I128" i="3"/>
  <c r="I252" i="4" s="1"/>
  <c r="J47" i="4"/>
  <c r="J354" i="4" s="1"/>
  <c r="I113" i="4"/>
  <c r="H79" i="3"/>
  <c r="F38" i="5"/>
  <c r="H168" i="4"/>
  <c r="L367" i="6"/>
  <c r="H233" i="6"/>
  <c r="G233" i="6"/>
  <c r="G205" i="6"/>
  <c r="G236" i="6"/>
  <c r="H236" i="6"/>
  <c r="L133" i="6"/>
  <c r="K133" i="6"/>
  <c r="J133" i="6"/>
  <c r="I133" i="6"/>
  <c r="H133" i="6"/>
  <c r="H241" i="6"/>
  <c r="E12" i="5"/>
  <c r="H135" i="4"/>
  <c r="H134" i="4" s="1"/>
  <c r="H123" i="4" s="1"/>
  <c r="H10" i="3"/>
  <c r="H109" i="4"/>
  <c r="H108" i="4" s="1"/>
  <c r="H107" i="4" s="1"/>
  <c r="I255" i="4"/>
  <c r="I41" i="3" s="1"/>
  <c r="J274" i="4" s="1"/>
  <c r="J278" i="4" s="1"/>
  <c r="I211" i="4"/>
  <c r="E14" i="5"/>
  <c r="F75" i="3"/>
  <c r="F91" i="3"/>
  <c r="E126" i="5"/>
  <c r="K425" i="4"/>
  <c r="K111" i="3"/>
  <c r="K312" i="4" s="1"/>
  <c r="G9" i="6"/>
  <c r="I139" i="6"/>
  <c r="J139" i="6" s="1"/>
  <c r="K139" i="6" s="1"/>
  <c r="L139" i="6" s="1"/>
  <c r="H249" i="6" s="1"/>
  <c r="G249" i="6" s="1"/>
  <c r="G206" i="6"/>
  <c r="L365" i="6"/>
  <c r="E16" i="5"/>
  <c r="G75" i="3"/>
  <c r="G91" i="3"/>
  <c r="E153" i="5"/>
  <c r="L425" i="4"/>
  <c r="L111" i="3"/>
  <c r="L312" i="4" s="1"/>
  <c r="L33" i="1"/>
  <c r="L58" i="3"/>
  <c r="L142" i="4"/>
  <c r="G184" i="6"/>
  <c r="G199" i="6" s="1"/>
  <c r="G234" i="6"/>
  <c r="G238" i="6"/>
  <c r="L363" i="6"/>
  <c r="K104" i="6"/>
  <c r="H234" i="6"/>
  <c r="L361" i="6"/>
  <c r="G70" i="6" s="1"/>
  <c r="E30" i="3"/>
  <c r="E32" i="1"/>
  <c r="E72" i="5"/>
  <c r="I425" i="4"/>
  <c r="I111" i="3"/>
  <c r="I312" i="4" s="1"/>
  <c r="J267" i="4"/>
  <c r="I82" i="3"/>
  <c r="D31" i="1"/>
  <c r="P45" i="1" s="1"/>
  <c r="F30" i="3"/>
  <c r="F32" i="1"/>
  <c r="F31" i="1"/>
  <c r="P47" i="1" s="1"/>
  <c r="G59" i="6"/>
  <c r="H355" i="4"/>
  <c r="H114" i="6" s="1"/>
  <c r="H170" i="4"/>
  <c r="H380" i="4" s="1"/>
  <c r="H26" i="3" s="1"/>
  <c r="E33" i="5" s="1"/>
  <c r="F33" i="5"/>
  <c r="E10" i="5"/>
  <c r="D75" i="3"/>
  <c r="D91" i="3"/>
  <c r="I264" i="4"/>
  <c r="I71" i="3" s="1"/>
  <c r="J290" i="4" s="1"/>
  <c r="J294" i="4" s="1"/>
  <c r="I213" i="4"/>
  <c r="G20" i="3"/>
  <c r="G24" i="3" s="1"/>
  <c r="E48" i="5"/>
  <c r="H111" i="3"/>
  <c r="H50" i="4"/>
  <c r="G78" i="5"/>
  <c r="I78" i="5" s="1"/>
  <c r="F62" i="5"/>
  <c r="I74" i="4"/>
  <c r="K47" i="4"/>
  <c r="K354" i="4" s="1"/>
  <c r="G105" i="5"/>
  <c r="I105" i="5" s="1"/>
  <c r="H80" i="4"/>
  <c r="H118" i="4"/>
  <c r="H119" i="4" s="1"/>
  <c r="H121" i="4" s="1"/>
  <c r="E30" i="5"/>
  <c r="I249" i="4"/>
  <c r="F73" i="5" s="1"/>
  <c r="I129" i="3"/>
  <c r="L47" i="4"/>
  <c r="L354" i="4" s="1"/>
  <c r="K50" i="3"/>
  <c r="J58" i="3"/>
  <c r="F30" i="5"/>
  <c r="J79" i="3"/>
  <c r="E99" i="5"/>
  <c r="J425" i="4"/>
  <c r="J111" i="3"/>
  <c r="J312" i="4" s="1"/>
  <c r="F36" i="5"/>
  <c r="H23" i="4"/>
  <c r="K103" i="4"/>
  <c r="H369" i="4"/>
  <c r="H15" i="3" s="1"/>
  <c r="G100" i="5"/>
  <c r="I100" i="5" s="1"/>
  <c r="E14" i="3"/>
  <c r="E50" i="5"/>
  <c r="G154" i="5"/>
  <c r="I154" i="5" s="1"/>
  <c r="I235" i="4"/>
  <c r="F14" i="3"/>
  <c r="K81" i="3"/>
  <c r="J196" i="4"/>
  <c r="F37" i="5"/>
  <c r="H44" i="4"/>
  <c r="J270" i="4"/>
  <c r="H39" i="3"/>
  <c r="E38" i="5" s="1"/>
  <c r="K57" i="3"/>
  <c r="J83" i="3"/>
  <c r="K196" i="4"/>
  <c r="I171" i="4"/>
  <c r="J176" i="4"/>
  <c r="I190" i="4"/>
  <c r="I158" i="4" s="1"/>
  <c r="I187" i="4"/>
  <c r="F77" i="5" s="1"/>
  <c r="I189" i="4"/>
  <c r="I157" i="4" s="1"/>
  <c r="K322" i="4"/>
  <c r="I362" i="4"/>
  <c r="H371" i="4"/>
  <c r="H17" i="3" s="1"/>
  <c r="H125" i="4"/>
  <c r="I261" i="4"/>
  <c r="I67" i="3" s="1"/>
  <c r="J282" i="4" s="1"/>
  <c r="J286" i="4" s="1"/>
  <c r="I212" i="4"/>
  <c r="H197" i="4"/>
  <c r="F29" i="5" s="1"/>
  <c r="F39" i="5"/>
  <c r="I49" i="5"/>
  <c r="I132" i="5"/>
  <c r="I159" i="5"/>
  <c r="G159" i="5"/>
  <c r="I17" i="5"/>
  <c r="L196" i="4"/>
  <c r="I314" i="4"/>
  <c r="G13" i="5"/>
  <c r="I13" i="5" s="1"/>
  <c r="H367" i="4"/>
  <c r="I15" i="5"/>
  <c r="I11" i="5"/>
  <c r="E127" i="5" l="1"/>
  <c r="K36" i="1"/>
  <c r="E91" i="3"/>
  <c r="I197" i="4"/>
  <c r="F53" i="5" s="1"/>
  <c r="L265" i="4"/>
  <c r="L79" i="3" s="1"/>
  <c r="K79" i="3"/>
  <c r="H88" i="6"/>
  <c r="H28" i="1"/>
  <c r="H29" i="1"/>
  <c r="G369" i="6"/>
  <c r="G72" i="6"/>
  <c r="H253" i="6"/>
  <c r="G253" i="6" s="1"/>
  <c r="H368" i="4"/>
  <c r="H14" i="3" s="1"/>
  <c r="H13" i="3"/>
  <c r="H374" i="4"/>
  <c r="I66" i="3"/>
  <c r="I143" i="4"/>
  <c r="K270" i="4"/>
  <c r="J85" i="3"/>
  <c r="G30" i="1"/>
  <c r="O48" i="1" s="1"/>
  <c r="G28" i="3"/>
  <c r="G33" i="5"/>
  <c r="I33" i="5" s="1"/>
  <c r="I153" i="5"/>
  <c r="G153" i="5"/>
  <c r="I14" i="5"/>
  <c r="G14" i="5"/>
  <c r="G12" i="5"/>
  <c r="I12" i="5" s="1"/>
  <c r="J261" i="4"/>
  <c r="J67" i="3" s="1"/>
  <c r="K282" i="4" s="1"/>
  <c r="K286" i="4" s="1"/>
  <c r="J212" i="4"/>
  <c r="J177" i="4"/>
  <c r="J126" i="3" s="1"/>
  <c r="J195" i="4" s="1"/>
  <c r="J171" i="4"/>
  <c r="K113" i="4"/>
  <c r="L103" i="4"/>
  <c r="L113" i="4" s="1"/>
  <c r="I371" i="4"/>
  <c r="I17" i="3" s="1"/>
  <c r="I364" i="4"/>
  <c r="I367" i="4"/>
  <c r="I129" i="4"/>
  <c r="I120" i="4"/>
  <c r="I115" i="4" s="1"/>
  <c r="J362" i="4"/>
  <c r="I127" i="4"/>
  <c r="I369" i="4"/>
  <c r="I15" i="3" s="1"/>
  <c r="I125" i="4"/>
  <c r="I8" i="3"/>
  <c r="H37" i="3"/>
  <c r="I19" i="4"/>
  <c r="I30" i="5"/>
  <c r="G30" i="5"/>
  <c r="J264" i="4"/>
  <c r="J71" i="3" s="1"/>
  <c r="K290" i="4" s="1"/>
  <c r="K294" i="4" s="1"/>
  <c r="J213" i="4"/>
  <c r="J211" i="4"/>
  <c r="J255" i="4"/>
  <c r="J41" i="3" s="1"/>
  <c r="K274" i="4" s="1"/>
  <c r="K278" i="4" s="1"/>
  <c r="K308" i="4"/>
  <c r="K128" i="3"/>
  <c r="K252" i="4" s="1"/>
  <c r="G50" i="5"/>
  <c r="I50" i="5" s="1"/>
  <c r="I46" i="4"/>
  <c r="H40" i="3"/>
  <c r="E39" i="5" s="1"/>
  <c r="G71" i="6"/>
  <c r="K267" i="4"/>
  <c r="J82" i="3"/>
  <c r="G16" i="5"/>
  <c r="I16" i="5" s="1"/>
  <c r="I106" i="4"/>
  <c r="H46" i="3"/>
  <c r="H357" i="4"/>
  <c r="E40" i="5" s="1"/>
  <c r="H358" i="4"/>
  <c r="E41" i="5" s="1"/>
  <c r="I112" i="4"/>
  <c r="H47" i="3"/>
  <c r="I126" i="5"/>
  <c r="G126" i="5"/>
  <c r="G29" i="5"/>
  <c r="I29" i="5" s="1"/>
  <c r="H172" i="4"/>
  <c r="H122" i="3"/>
  <c r="G10" i="5"/>
  <c r="I10" i="5" s="1"/>
  <c r="F44" i="5"/>
  <c r="H130" i="4"/>
  <c r="H133" i="4"/>
  <c r="I132" i="4" s="1"/>
  <c r="I142" i="4"/>
  <c r="I159" i="4"/>
  <c r="I58" i="3"/>
  <c r="H85" i="4"/>
  <c r="I48" i="5"/>
  <c r="G48" i="5"/>
  <c r="G72" i="5"/>
  <c r="I72" i="5" s="1"/>
  <c r="G38" i="5"/>
  <c r="I38" i="5" s="1"/>
  <c r="I40" i="4"/>
  <c r="H38" i="3"/>
  <c r="E37" i="5" s="1"/>
  <c r="G99" i="5"/>
  <c r="I99" i="5" s="1"/>
  <c r="E73" i="5"/>
  <c r="I36" i="1"/>
  <c r="F34" i="5"/>
  <c r="J68" i="4"/>
  <c r="I39" i="3"/>
  <c r="G127" i="5" l="1"/>
  <c r="I127" i="5"/>
  <c r="G73" i="5"/>
  <c r="I73" i="5" s="1"/>
  <c r="H20" i="3"/>
  <c r="H378" i="4"/>
  <c r="H219" i="6"/>
  <c r="G219" i="6"/>
  <c r="G73" i="6"/>
  <c r="I23" i="4"/>
  <c r="F60" i="5"/>
  <c r="K212" i="4"/>
  <c r="K261" i="4"/>
  <c r="K67" i="3" s="1"/>
  <c r="L282" i="4" s="1"/>
  <c r="L286" i="4" s="1"/>
  <c r="L267" i="4"/>
  <c r="L82" i="3" s="1"/>
  <c r="K82" i="3"/>
  <c r="H359" i="4"/>
  <c r="E42" i="5" s="1"/>
  <c r="H59" i="3"/>
  <c r="G39" i="5"/>
  <c r="I39" i="5" s="1"/>
  <c r="K211" i="4"/>
  <c r="K255" i="4"/>
  <c r="K41" i="3" s="1"/>
  <c r="L274" i="4" s="1"/>
  <c r="L278" i="4" s="1"/>
  <c r="E36" i="5"/>
  <c r="H43" i="3"/>
  <c r="G30" i="3"/>
  <c r="G32" i="1"/>
  <c r="G31" i="1"/>
  <c r="P48" i="1" s="1"/>
  <c r="J371" i="4"/>
  <c r="J17" i="3" s="1"/>
  <c r="J364" i="4"/>
  <c r="J367" i="4" s="1"/>
  <c r="J369" i="4"/>
  <c r="J15" i="3" s="1"/>
  <c r="K362" i="4"/>
  <c r="J129" i="4"/>
  <c r="J120" i="4"/>
  <c r="J115" i="4" s="1"/>
  <c r="J127" i="4"/>
  <c r="J125" i="4"/>
  <c r="J8" i="3"/>
  <c r="F89" i="5"/>
  <c r="J74" i="4"/>
  <c r="G37" i="5"/>
  <c r="I37" i="5" s="1"/>
  <c r="F40" i="5"/>
  <c r="H101" i="6"/>
  <c r="F63" i="5"/>
  <c r="I50" i="4"/>
  <c r="I420" i="4"/>
  <c r="E62" i="5"/>
  <c r="F61" i="5"/>
  <c r="I44" i="4"/>
  <c r="E35" i="5"/>
  <c r="H87" i="4"/>
  <c r="H88" i="4" s="1"/>
  <c r="H68" i="3" s="1"/>
  <c r="H72" i="3" s="1"/>
  <c r="I76" i="4"/>
  <c r="E43" i="5"/>
  <c r="F41" i="5"/>
  <c r="H102" i="6"/>
  <c r="I118" i="4"/>
  <c r="I119" i="4" s="1"/>
  <c r="I121" i="4" s="1"/>
  <c r="F67" i="5"/>
  <c r="L270" i="4"/>
  <c r="L85" i="3" s="1"/>
  <c r="K85" i="3"/>
  <c r="K264" i="4"/>
  <c r="K71" i="3" s="1"/>
  <c r="L290" i="4" s="1"/>
  <c r="L294" i="4" s="1"/>
  <c r="K213" i="4"/>
  <c r="I368" i="4"/>
  <c r="I14" i="3" s="1"/>
  <c r="I374" i="4"/>
  <c r="I13" i="3"/>
  <c r="J178" i="4"/>
  <c r="I416" i="4"/>
  <c r="E54" i="5"/>
  <c r="E77" i="5"/>
  <c r="J193" i="4"/>
  <c r="J197" i="4" s="1"/>
  <c r="F80" i="5" s="1"/>
  <c r="E53" i="5"/>
  <c r="F32" i="5"/>
  <c r="F31" i="5"/>
  <c r="H123" i="3"/>
  <c r="E32" i="5" s="1"/>
  <c r="H174" i="4"/>
  <c r="H381" i="4" s="1"/>
  <c r="I29" i="1"/>
  <c r="I28" i="1"/>
  <c r="I88" i="6"/>
  <c r="I135" i="4"/>
  <c r="I134" i="4" s="1"/>
  <c r="I123" i="4" s="1"/>
  <c r="I109" i="4"/>
  <c r="I108" i="4" s="1"/>
  <c r="I107" i="4" s="1"/>
  <c r="I10" i="3"/>
  <c r="F54" i="5"/>
  <c r="G41" i="5" l="1"/>
  <c r="I41" i="5" s="1"/>
  <c r="J190" i="4"/>
  <c r="J158" i="4" s="1"/>
  <c r="J187" i="4"/>
  <c r="F104" i="5" s="1"/>
  <c r="K176" i="4"/>
  <c r="G36" i="5"/>
  <c r="I36" i="5" s="1"/>
  <c r="G53" i="5"/>
  <c r="I53" i="5" s="1"/>
  <c r="G43" i="5"/>
  <c r="I43" i="5" s="1"/>
  <c r="G62" i="5"/>
  <c r="I62" i="5" s="1"/>
  <c r="L211" i="4"/>
  <c r="L255" i="4"/>
  <c r="L41" i="3" s="1"/>
  <c r="I20" i="3"/>
  <c r="I378" i="4"/>
  <c r="I80" i="4"/>
  <c r="K68" i="4"/>
  <c r="J39" i="3"/>
  <c r="F94" i="5"/>
  <c r="J118" i="4"/>
  <c r="L212" i="4"/>
  <c r="L261" i="4"/>
  <c r="L67" i="3" s="1"/>
  <c r="G54" i="5"/>
  <c r="I54" i="5" s="1"/>
  <c r="H90" i="4"/>
  <c r="K364" i="4"/>
  <c r="K367" i="4" s="1"/>
  <c r="K369" i="4"/>
  <c r="K15" i="3" s="1"/>
  <c r="L362" i="4"/>
  <c r="K129" i="4"/>
  <c r="K120" i="4"/>
  <c r="K115" i="4" s="1"/>
  <c r="K127" i="4"/>
  <c r="K125" i="4"/>
  <c r="K8" i="3"/>
  <c r="K371" i="4"/>
  <c r="K17" i="3" s="1"/>
  <c r="H347" i="4"/>
  <c r="H360" i="4" s="1"/>
  <c r="H97" i="3" s="1"/>
  <c r="H99" i="3" s="1"/>
  <c r="H24" i="3"/>
  <c r="J46" i="4"/>
  <c r="I40" i="3"/>
  <c r="E63" i="5" s="1"/>
  <c r="G40" i="5"/>
  <c r="I40" i="5" s="1"/>
  <c r="G77" i="5"/>
  <c r="I77" i="5" s="1"/>
  <c r="F35" i="5"/>
  <c r="H60" i="3"/>
  <c r="E34" i="5" s="1"/>
  <c r="H27" i="3"/>
  <c r="E31" i="5" s="1"/>
  <c r="H382" i="4"/>
  <c r="I357" i="4"/>
  <c r="E64" i="5" s="1"/>
  <c r="J106" i="4"/>
  <c r="I46" i="3"/>
  <c r="I32" i="5"/>
  <c r="G32" i="5"/>
  <c r="L213" i="4"/>
  <c r="L264" i="4"/>
  <c r="L71" i="3" s="1"/>
  <c r="J358" i="4"/>
  <c r="E92" i="5" s="1"/>
  <c r="J112" i="4"/>
  <c r="J119" i="4" s="1"/>
  <c r="J121" i="4" s="1"/>
  <c r="I47" i="3"/>
  <c r="I358" i="4"/>
  <c r="E65" i="5" s="1"/>
  <c r="F68" i="5"/>
  <c r="I130" i="4"/>
  <c r="I133" i="4"/>
  <c r="J132" i="4" s="1"/>
  <c r="H131" i="3"/>
  <c r="G35" i="5"/>
  <c r="I35" i="5" s="1"/>
  <c r="J374" i="4"/>
  <c r="J368" i="4"/>
  <c r="J14" i="3" s="1"/>
  <c r="J13" i="3"/>
  <c r="J135" i="4"/>
  <c r="J134" i="4" s="1"/>
  <c r="J123" i="4" s="1"/>
  <c r="J109" i="4"/>
  <c r="J108" i="4" s="1"/>
  <c r="J10" i="3"/>
  <c r="J19" i="4"/>
  <c r="I37" i="3"/>
  <c r="J40" i="4"/>
  <c r="I38" i="3"/>
  <c r="J29" i="1"/>
  <c r="J28" i="1"/>
  <c r="J88" i="6"/>
  <c r="E44" i="5"/>
  <c r="F42" i="5"/>
  <c r="H103" i="6"/>
  <c r="H105" i="6" s="1"/>
  <c r="G31" i="6"/>
  <c r="G27" i="6"/>
  <c r="G13" i="6"/>
  <c r="G32" i="6"/>
  <c r="G28" i="6"/>
  <c r="G33" i="6"/>
  <c r="G29" i="6"/>
  <c r="G74" i="6"/>
  <c r="G34" i="6"/>
  <c r="G30" i="6"/>
  <c r="G26" i="6"/>
  <c r="K368" i="4" l="1"/>
  <c r="K14" i="3" s="1"/>
  <c r="K13" i="3"/>
  <c r="K374" i="4"/>
  <c r="I106" i="6"/>
  <c r="H107" i="6"/>
  <c r="I140" i="6"/>
  <c r="H110" i="6"/>
  <c r="H140" i="6"/>
  <c r="H218" i="6"/>
  <c r="G218" i="6"/>
  <c r="L110" i="6"/>
  <c r="L140" i="6"/>
  <c r="G169" i="6" s="1"/>
  <c r="H223" i="6" s="1"/>
  <c r="G223" i="6" s="1"/>
  <c r="K110" i="6"/>
  <c r="H220" i="6"/>
  <c r="K140" i="6"/>
  <c r="J110" i="6"/>
  <c r="G220" i="6"/>
  <c r="J140" i="6"/>
  <c r="I110" i="6"/>
  <c r="G240" i="6"/>
  <c r="G42" i="5"/>
  <c r="I42" i="5" s="1"/>
  <c r="F88" i="5"/>
  <c r="J44" i="4"/>
  <c r="J20" i="3"/>
  <c r="J378" i="4"/>
  <c r="E67" i="5"/>
  <c r="I421" i="4"/>
  <c r="I102" i="6"/>
  <c r="F65" i="5"/>
  <c r="K28" i="1"/>
  <c r="K29" i="1"/>
  <c r="K88" i="6"/>
  <c r="F116" i="5"/>
  <c r="K74" i="4"/>
  <c r="I172" i="4"/>
  <c r="I122" i="3"/>
  <c r="F87" i="5"/>
  <c r="J23" i="4"/>
  <c r="I85" i="4"/>
  <c r="K171" i="4"/>
  <c r="K178" i="4"/>
  <c r="K135" i="4"/>
  <c r="K134" i="4" s="1"/>
  <c r="K123" i="4" s="1"/>
  <c r="K109" i="4"/>
  <c r="K108" i="4" s="1"/>
  <c r="K10" i="3"/>
  <c r="J420" i="4"/>
  <c r="E89" i="5"/>
  <c r="I418" i="4"/>
  <c r="I43" i="3"/>
  <c r="E60" i="5"/>
  <c r="I31" i="5"/>
  <c r="G31" i="5"/>
  <c r="F90" i="5"/>
  <c r="J50" i="4"/>
  <c r="K118" i="4"/>
  <c r="F121" i="5"/>
  <c r="F58" i="5"/>
  <c r="G44" i="5"/>
  <c r="I44" i="5" s="1"/>
  <c r="H383" i="4"/>
  <c r="H28" i="3"/>
  <c r="G63" i="5"/>
  <c r="I63" i="5" s="1"/>
  <c r="G232" i="6"/>
  <c r="H232" i="6"/>
  <c r="J107" i="4"/>
  <c r="G34" i="5"/>
  <c r="I34" i="5" s="1"/>
  <c r="H30" i="1"/>
  <c r="O49" i="1" s="1"/>
  <c r="H89" i="6"/>
  <c r="H93" i="6" s="1"/>
  <c r="I347" i="4"/>
  <c r="I24" i="3"/>
  <c r="J66" i="3"/>
  <c r="J159" i="4"/>
  <c r="J143" i="4"/>
  <c r="I419" i="4"/>
  <c r="E61" i="5"/>
  <c r="F64" i="5"/>
  <c r="I101" i="6"/>
  <c r="F95" i="5"/>
  <c r="J133" i="4"/>
  <c r="K132" i="4" s="1"/>
  <c r="J130" i="4"/>
  <c r="I359" i="4"/>
  <c r="E66" i="5" s="1"/>
  <c r="I59" i="3"/>
  <c r="H133" i="3"/>
  <c r="H34" i="1"/>
  <c r="L371" i="4"/>
  <c r="L17" i="3" s="1"/>
  <c r="L369" i="4"/>
  <c r="L15" i="3" s="1"/>
  <c r="L129" i="4"/>
  <c r="L120" i="4"/>
  <c r="L115" i="4" s="1"/>
  <c r="L127" i="4"/>
  <c r="L364" i="4"/>
  <c r="L125" i="4"/>
  <c r="L8" i="3"/>
  <c r="K112" i="4"/>
  <c r="K119" i="4" s="1"/>
  <c r="K121" i="4" s="1"/>
  <c r="K358" i="4"/>
  <c r="E119" i="5" s="1"/>
  <c r="J47" i="3"/>
  <c r="G65" i="5" l="1"/>
  <c r="I65" i="5" s="1"/>
  <c r="L109" i="4"/>
  <c r="L108" i="4" s="1"/>
  <c r="L10" i="3"/>
  <c r="L135" i="4"/>
  <c r="L134" i="4" s="1"/>
  <c r="F19" i="5"/>
  <c r="H137" i="3"/>
  <c r="H117" i="6"/>
  <c r="H95" i="6"/>
  <c r="H118" i="6" s="1"/>
  <c r="G60" i="5"/>
  <c r="I60" i="5" s="1"/>
  <c r="F56" i="5"/>
  <c r="F55" i="5"/>
  <c r="I174" i="4"/>
  <c r="I381" i="4" s="1"/>
  <c r="I27" i="3" s="1"/>
  <c r="E55" i="5" s="1"/>
  <c r="I123" i="3"/>
  <c r="E56" i="5" s="1"/>
  <c r="I422" i="4"/>
  <c r="E68" i="5"/>
  <c r="I103" i="6"/>
  <c r="F66" i="5"/>
  <c r="G66" i="5" s="1"/>
  <c r="I66" i="5" s="1"/>
  <c r="G61" i="5"/>
  <c r="I61" i="5" s="1"/>
  <c r="G64" i="5"/>
  <c r="I64" i="5" s="1"/>
  <c r="E94" i="5"/>
  <c r="J421" i="4"/>
  <c r="J102" i="6"/>
  <c r="L118" i="4"/>
  <c r="L47" i="3" s="1"/>
  <c r="F148" i="5"/>
  <c r="H31" i="1"/>
  <c r="P49" i="1" s="1"/>
  <c r="H32" i="1"/>
  <c r="K187" i="4"/>
  <c r="F131" i="5" s="1"/>
  <c r="K190" i="4"/>
  <c r="K158" i="4" s="1"/>
  <c r="L176" i="4"/>
  <c r="F92" i="5"/>
  <c r="J359" i="4"/>
  <c r="E93" i="5" s="1"/>
  <c r="J59" i="3"/>
  <c r="H384" i="4"/>
  <c r="H260" i="4"/>
  <c r="H29" i="3"/>
  <c r="F51" i="5" s="1"/>
  <c r="L112" i="4"/>
  <c r="L119" i="4" s="1"/>
  <c r="L121" i="4" s="1"/>
  <c r="L358" i="4"/>
  <c r="E146" i="5" s="1"/>
  <c r="K47" i="3"/>
  <c r="F119" i="5" s="1"/>
  <c r="G119" i="5" s="1"/>
  <c r="I119" i="5" s="1"/>
  <c r="G89" i="5"/>
  <c r="I89" i="5" s="1"/>
  <c r="L68" i="4"/>
  <c r="K39" i="3"/>
  <c r="H256" i="6"/>
  <c r="G256" i="6" s="1"/>
  <c r="H222" i="6"/>
  <c r="E104" i="5"/>
  <c r="E80" i="5"/>
  <c r="J416" i="4"/>
  <c r="K193" i="4"/>
  <c r="K197" i="4" s="1"/>
  <c r="F107" i="5" s="1"/>
  <c r="E81" i="5"/>
  <c r="K106" i="4"/>
  <c r="J46" i="3"/>
  <c r="J357" i="4"/>
  <c r="E91" i="5" s="1"/>
  <c r="K46" i="4"/>
  <c r="J40" i="3"/>
  <c r="E90" i="5" s="1"/>
  <c r="E59" i="5"/>
  <c r="I87" i="4"/>
  <c r="I88" i="4" s="1"/>
  <c r="I68" i="3" s="1"/>
  <c r="I72" i="3" s="1"/>
  <c r="J76" i="4"/>
  <c r="G67" i="5"/>
  <c r="I67" i="5" s="1"/>
  <c r="L367" i="4"/>
  <c r="F81" i="5"/>
  <c r="K19" i="4"/>
  <c r="J37" i="3"/>
  <c r="J347" i="4"/>
  <c r="J24" i="3"/>
  <c r="K20" i="3"/>
  <c r="K378" i="4"/>
  <c r="L28" i="1"/>
  <c r="L29" i="1"/>
  <c r="L88" i="6"/>
  <c r="H130" i="6" s="1"/>
  <c r="I105" i="6"/>
  <c r="I30" i="1"/>
  <c r="O50" i="1" s="1"/>
  <c r="I89" i="6"/>
  <c r="I93" i="6" s="1"/>
  <c r="K107" i="4"/>
  <c r="K133" i="4"/>
  <c r="L132" i="4" s="1"/>
  <c r="F122" i="5"/>
  <c r="K130" i="4"/>
  <c r="K40" i="4"/>
  <c r="J38" i="3"/>
  <c r="G222" i="6"/>
  <c r="L123" i="4" l="1"/>
  <c r="K347" i="4"/>
  <c r="K24" i="3"/>
  <c r="L368" i="4"/>
  <c r="L14" i="3" s="1"/>
  <c r="L13" i="3"/>
  <c r="L374" i="4"/>
  <c r="F143" i="5"/>
  <c r="L74" i="4"/>
  <c r="L39" i="3" s="1"/>
  <c r="L106" i="4"/>
  <c r="L107" i="4" s="1"/>
  <c r="K46" i="3"/>
  <c r="K357" i="4"/>
  <c r="E118" i="5" s="1"/>
  <c r="G90" i="5"/>
  <c r="I90" i="5" s="1"/>
  <c r="G92" i="5"/>
  <c r="I92" i="5" s="1"/>
  <c r="I56" i="5"/>
  <c r="G56" i="5"/>
  <c r="J30" i="1"/>
  <c r="O51" i="1" s="1"/>
  <c r="J89" i="6"/>
  <c r="J93" i="6" s="1"/>
  <c r="F117" i="5"/>
  <c r="K50" i="4"/>
  <c r="G80" i="5"/>
  <c r="I80" i="5" s="1"/>
  <c r="L171" i="4"/>
  <c r="L178" i="4"/>
  <c r="E148" i="5"/>
  <c r="L421" i="4"/>
  <c r="L102" i="6"/>
  <c r="G55" i="5"/>
  <c r="I55" i="5" s="1"/>
  <c r="E19" i="5"/>
  <c r="H160" i="4"/>
  <c r="H161" i="4" s="1"/>
  <c r="H35" i="1" s="1"/>
  <c r="I134" i="3"/>
  <c r="H51" i="3"/>
  <c r="G104" i="5"/>
  <c r="I104" i="5" s="1"/>
  <c r="H62" i="3"/>
  <c r="E51" i="5" s="1"/>
  <c r="H63" i="3"/>
  <c r="H73" i="3" s="1"/>
  <c r="K143" i="4"/>
  <c r="K66" i="3"/>
  <c r="K159" i="4"/>
  <c r="I117" i="6"/>
  <c r="I95" i="6"/>
  <c r="I96" i="6"/>
  <c r="E87" i="5"/>
  <c r="J418" i="4"/>
  <c r="J43" i="3"/>
  <c r="F149" i="5"/>
  <c r="L133" i="4"/>
  <c r="L130" i="4"/>
  <c r="J80" i="4"/>
  <c r="J85" i="4" s="1"/>
  <c r="F91" i="5"/>
  <c r="G91" i="5" s="1"/>
  <c r="I91" i="5" s="1"/>
  <c r="J101" i="6"/>
  <c r="J105" i="6" s="1"/>
  <c r="H271" i="4"/>
  <c r="H242" i="4"/>
  <c r="H30" i="3"/>
  <c r="K359" i="4"/>
  <c r="E120" i="5" s="1"/>
  <c r="K59" i="3"/>
  <c r="I130" i="6"/>
  <c r="F114" i="5"/>
  <c r="K23" i="4"/>
  <c r="F59" i="5"/>
  <c r="I60" i="3"/>
  <c r="F120" i="5"/>
  <c r="J422" i="4"/>
  <c r="E95" i="5"/>
  <c r="J103" i="6"/>
  <c r="J106" i="6"/>
  <c r="I107" i="6"/>
  <c r="I108" i="6" s="1"/>
  <c r="G81" i="5"/>
  <c r="I81" i="5" s="1"/>
  <c r="G94" i="5"/>
  <c r="I94" i="5" s="1"/>
  <c r="G68" i="5"/>
  <c r="I68" i="5" s="1"/>
  <c r="E88" i="5"/>
  <c r="J419" i="4"/>
  <c r="F115" i="5"/>
  <c r="K44" i="4"/>
  <c r="I90" i="4"/>
  <c r="I417" i="4" s="1"/>
  <c r="K420" i="4"/>
  <c r="E116" i="5"/>
  <c r="F146" i="5"/>
  <c r="K421" i="4"/>
  <c r="E121" i="5"/>
  <c r="K102" i="6"/>
  <c r="F93" i="5"/>
  <c r="H96" i="6"/>
  <c r="H108" i="6" s="1"/>
  <c r="G146" i="5" l="1"/>
  <c r="I146" i="5" s="1"/>
  <c r="L357" i="4"/>
  <c r="E145" i="5" s="1"/>
  <c r="L46" i="3"/>
  <c r="K106" i="6"/>
  <c r="J107" i="6"/>
  <c r="L19" i="4"/>
  <c r="K37" i="3"/>
  <c r="H88" i="3"/>
  <c r="E131" i="5"/>
  <c r="E107" i="5"/>
  <c r="L193" i="4"/>
  <c r="L197" i="4" s="1"/>
  <c r="F134" i="5" s="1"/>
  <c r="E108" i="5"/>
  <c r="K416" i="4"/>
  <c r="K40" i="3"/>
  <c r="E117" i="5" s="1"/>
  <c r="L46" i="4"/>
  <c r="F108" i="5"/>
  <c r="G59" i="5"/>
  <c r="I59" i="5" s="1"/>
  <c r="J130" i="6"/>
  <c r="J117" i="6"/>
  <c r="J95" i="6"/>
  <c r="J96" i="6" s="1"/>
  <c r="H119" i="6"/>
  <c r="H109" i="6"/>
  <c r="H116" i="6"/>
  <c r="L40" i="4"/>
  <c r="K38" i="3"/>
  <c r="G93" i="5"/>
  <c r="I93" i="5" s="1"/>
  <c r="I95" i="5"/>
  <c r="G95" i="5"/>
  <c r="H164" i="4"/>
  <c r="H165" i="4" s="1"/>
  <c r="E28" i="5"/>
  <c r="I163" i="4"/>
  <c r="I152" i="4"/>
  <c r="I317" i="4" s="1"/>
  <c r="I318" i="4" s="1"/>
  <c r="F52" i="5"/>
  <c r="H52" i="3"/>
  <c r="H53" i="3" s="1"/>
  <c r="G148" i="5"/>
  <c r="I148" i="5" s="1"/>
  <c r="F118" i="5"/>
  <c r="G118" i="5" s="1"/>
  <c r="I118" i="5" s="1"/>
  <c r="K101" i="6"/>
  <c r="L20" i="3"/>
  <c r="L378" i="4"/>
  <c r="I121" i="5"/>
  <c r="G121" i="5"/>
  <c r="E122" i="5"/>
  <c r="K422" i="4"/>
  <c r="K103" i="6"/>
  <c r="J172" i="4"/>
  <c r="J122" i="3"/>
  <c r="G87" i="5"/>
  <c r="I87" i="5" s="1"/>
  <c r="I310" i="4"/>
  <c r="L187" i="4"/>
  <c r="F158" i="5" s="1"/>
  <c r="L190" i="4"/>
  <c r="L158" i="4" s="1"/>
  <c r="G88" i="5"/>
  <c r="I88" i="5" s="1"/>
  <c r="G120" i="5"/>
  <c r="I120" i="5" s="1"/>
  <c r="E86" i="5"/>
  <c r="J87" i="4"/>
  <c r="J88" i="4" s="1"/>
  <c r="J68" i="3" s="1"/>
  <c r="J72" i="3" s="1"/>
  <c r="K76" i="4"/>
  <c r="G51" i="5"/>
  <c r="I51" i="5" s="1"/>
  <c r="E58" i="5"/>
  <c r="E46" i="5"/>
  <c r="F47" i="5"/>
  <c r="H115" i="6"/>
  <c r="F85" i="5"/>
  <c r="G19" i="5"/>
  <c r="I19" i="5" s="1"/>
  <c r="K30" i="1"/>
  <c r="O52" i="1" s="1"/>
  <c r="K89" i="6"/>
  <c r="K93" i="6" s="1"/>
  <c r="I116" i="5"/>
  <c r="G116" i="5"/>
  <c r="I109" i="6"/>
  <c r="I111" i="6" s="1"/>
  <c r="I116" i="6"/>
  <c r="H303" i="4"/>
  <c r="H326" i="4" s="1"/>
  <c r="F46" i="5"/>
  <c r="H253" i="4"/>
  <c r="F45" i="5"/>
  <c r="L359" i="4"/>
  <c r="E147" i="5" s="1"/>
  <c r="L59" i="3"/>
  <c r="E143" i="5"/>
  <c r="L420" i="4"/>
  <c r="G143" i="5" l="1"/>
  <c r="I143" i="5" s="1"/>
  <c r="G122" i="5"/>
  <c r="I122" i="5" s="1"/>
  <c r="H111" i="6"/>
  <c r="K130" i="6"/>
  <c r="F141" i="5"/>
  <c r="L23" i="4"/>
  <c r="L37" i="3" s="1"/>
  <c r="E149" i="5"/>
  <c r="L422" i="4"/>
  <c r="L103" i="6"/>
  <c r="F147" i="5"/>
  <c r="G108" i="5"/>
  <c r="I108" i="5" s="1"/>
  <c r="G147" i="5"/>
  <c r="I147" i="5" s="1"/>
  <c r="J108" i="6"/>
  <c r="G46" i="5"/>
  <c r="I46" i="5" s="1"/>
  <c r="E18" i="5"/>
  <c r="H75" i="3"/>
  <c r="G107" i="5"/>
  <c r="I107" i="5" s="1"/>
  <c r="I241" i="4"/>
  <c r="H86" i="3"/>
  <c r="K95" i="6"/>
  <c r="K96" i="6"/>
  <c r="K117" i="6"/>
  <c r="J90" i="4"/>
  <c r="J417" i="4" s="1"/>
  <c r="F83" i="5"/>
  <c r="F82" i="5"/>
  <c r="J174" i="4"/>
  <c r="J381" i="4" s="1"/>
  <c r="J27" i="3" s="1"/>
  <c r="E82" i="5" s="1"/>
  <c r="J123" i="3"/>
  <c r="E83" i="5" s="1"/>
  <c r="L347" i="4"/>
  <c r="L24" i="3"/>
  <c r="G131" i="5"/>
  <c r="I131" i="5" s="1"/>
  <c r="F145" i="5"/>
  <c r="G145" i="5" s="1"/>
  <c r="I145" i="5" s="1"/>
  <c r="L101" i="6"/>
  <c r="G58" i="5"/>
  <c r="I58" i="5" s="1"/>
  <c r="K80" i="4"/>
  <c r="K85" i="4"/>
  <c r="E115" i="5"/>
  <c r="K419" i="4"/>
  <c r="F144" i="5"/>
  <c r="L50" i="4"/>
  <c r="L40" i="3" s="1"/>
  <c r="E144" i="5" s="1"/>
  <c r="E47" i="5"/>
  <c r="L143" i="4"/>
  <c r="L66" i="3"/>
  <c r="L159" i="4"/>
  <c r="K105" i="6"/>
  <c r="I166" i="4"/>
  <c r="I168" i="4" s="1"/>
  <c r="F142" i="5"/>
  <c r="L44" i="4"/>
  <c r="L38" i="3" s="1"/>
  <c r="G117" i="5"/>
  <c r="I117" i="5" s="1"/>
  <c r="F86" i="5"/>
  <c r="J60" i="3"/>
  <c r="G28" i="5"/>
  <c r="I28" i="5" s="1"/>
  <c r="K418" i="4"/>
  <c r="E114" i="5"/>
  <c r="K43" i="3"/>
  <c r="G86" i="5" l="1"/>
  <c r="I86" i="5" s="1"/>
  <c r="J109" i="6"/>
  <c r="J116" i="6"/>
  <c r="G114" i="5"/>
  <c r="I114" i="5" s="1"/>
  <c r="L419" i="4"/>
  <c r="E142" i="5"/>
  <c r="G115" i="5"/>
  <c r="I115" i="5" s="1"/>
  <c r="F57" i="5"/>
  <c r="I170" i="4"/>
  <c r="I380" i="4" s="1"/>
  <c r="I355" i="4"/>
  <c r="K172" i="4"/>
  <c r="K122" i="3"/>
  <c r="E85" i="5"/>
  <c r="L106" i="6"/>
  <c r="K107" i="6"/>
  <c r="K108" i="6" s="1"/>
  <c r="F135" i="5"/>
  <c r="K87" i="4"/>
  <c r="L76" i="4"/>
  <c r="E113" i="5"/>
  <c r="K88" i="4"/>
  <c r="K68" i="3" s="1"/>
  <c r="K72" i="3" s="1"/>
  <c r="G149" i="5"/>
  <c r="I149" i="5" s="1"/>
  <c r="G144" i="5"/>
  <c r="I144" i="5" s="1"/>
  <c r="G83" i="5"/>
  <c r="I83" i="5" s="1"/>
  <c r="E45" i="5"/>
  <c r="H87" i="3"/>
  <c r="H89" i="3" s="1"/>
  <c r="G47" i="5"/>
  <c r="I47" i="5" s="1"/>
  <c r="F112" i="5"/>
  <c r="L30" i="1"/>
  <c r="O53" i="1" s="1"/>
  <c r="L89" i="6"/>
  <c r="L93" i="6" s="1"/>
  <c r="E141" i="5"/>
  <c r="L418" i="4"/>
  <c r="L43" i="3"/>
  <c r="E135" i="5"/>
  <c r="E158" i="5"/>
  <c r="L416" i="4"/>
  <c r="E134" i="5"/>
  <c r="L105" i="6"/>
  <c r="L107" i="6" s="1"/>
  <c r="G82" i="5"/>
  <c r="I82" i="5" s="1"/>
  <c r="L130" i="6"/>
  <c r="G162" i="6" l="1"/>
  <c r="G142" i="5"/>
  <c r="I142" i="5" s="1"/>
  <c r="F109" i="5"/>
  <c r="K123" i="3"/>
  <c r="E110" i="5" s="1"/>
  <c r="K174" i="4"/>
  <c r="K381" i="4" s="1"/>
  <c r="K27" i="3" s="1"/>
  <c r="E109" i="5" s="1"/>
  <c r="F110" i="5"/>
  <c r="G141" i="5"/>
  <c r="I141" i="5" s="1"/>
  <c r="F18" i="5"/>
  <c r="H91" i="3"/>
  <c r="I114" i="6"/>
  <c r="I360" i="4"/>
  <c r="I97" i="3" s="1"/>
  <c r="G134" i="5"/>
  <c r="I134" i="5" s="1"/>
  <c r="G45" i="5"/>
  <c r="I45" i="5" s="1"/>
  <c r="I26" i="3"/>
  <c r="E57" i="5" s="1"/>
  <c r="I382" i="4"/>
  <c r="K109" i="6"/>
  <c r="K111" i="6" s="1"/>
  <c r="K116" i="6"/>
  <c r="G157" i="6"/>
  <c r="G164" i="6"/>
  <c r="L96" i="6"/>
  <c r="L108" i="6" s="1"/>
  <c r="G152" i="6"/>
  <c r="L117" i="6"/>
  <c r="G153" i="6" s="1"/>
  <c r="L95" i="6"/>
  <c r="K90" i="4"/>
  <c r="K417" i="4" s="1"/>
  <c r="L80" i="4"/>
  <c r="L85" i="4" s="1"/>
  <c r="I158" i="5"/>
  <c r="G158" i="5"/>
  <c r="F113" i="5"/>
  <c r="G113" i="5" s="1"/>
  <c r="I113" i="5" s="1"/>
  <c r="K60" i="3"/>
  <c r="G135" i="5"/>
  <c r="I135" i="5" s="1"/>
  <c r="G85" i="5"/>
  <c r="I85" i="5" s="1"/>
  <c r="J111" i="6"/>
  <c r="L109" i="6" l="1"/>
  <c r="L116" i="6"/>
  <c r="E140" i="5"/>
  <c r="L87" i="4"/>
  <c r="L88" i="4"/>
  <c r="L68" i="3" s="1"/>
  <c r="L72" i="3" s="1"/>
  <c r="G109" i="5"/>
  <c r="I109" i="5" s="1"/>
  <c r="I383" i="4"/>
  <c r="I28" i="3"/>
  <c r="G110" i="5"/>
  <c r="I110" i="5" s="1"/>
  <c r="L172" i="4"/>
  <c r="L122" i="3"/>
  <c r="G57" i="5"/>
  <c r="I57" i="5" s="1"/>
  <c r="F139" i="5"/>
  <c r="G158" i="6"/>
  <c r="G159" i="6" s="1"/>
  <c r="G163" i="6"/>
  <c r="G18" i="5"/>
  <c r="I18" i="5" s="1"/>
  <c r="E112" i="5"/>
  <c r="L131" i="6"/>
  <c r="L132" i="6" s="1"/>
  <c r="L134" i="6" s="1"/>
  <c r="K131" i="6"/>
  <c r="K132" i="6" s="1"/>
  <c r="K134" i="6" s="1"/>
  <c r="J131" i="6"/>
  <c r="J132" i="6" s="1"/>
  <c r="J134" i="6" s="1"/>
  <c r="I131" i="6"/>
  <c r="I132" i="6" s="1"/>
  <c r="I134" i="6" s="1"/>
  <c r="I31" i="6" s="1"/>
  <c r="H131" i="6"/>
  <c r="H132" i="6" s="1"/>
  <c r="H134" i="6" s="1"/>
  <c r="H33" i="6" l="1"/>
  <c r="J34" i="6"/>
  <c r="K31" i="6"/>
  <c r="L33" i="6"/>
  <c r="I33" i="6"/>
  <c r="L27" i="6"/>
  <c r="L29" i="6"/>
  <c r="K27" i="6"/>
  <c r="G112" i="5"/>
  <c r="I112" i="5" s="1"/>
  <c r="H41" i="6"/>
  <c r="H29" i="6"/>
  <c r="L123" i="3"/>
  <c r="E137" i="5" s="1"/>
  <c r="L174" i="4"/>
  <c r="L381" i="4" s="1"/>
  <c r="L27" i="3" s="1"/>
  <c r="E136" i="5" s="1"/>
  <c r="F137" i="5"/>
  <c r="F136" i="5"/>
  <c r="L28" i="6"/>
  <c r="I31" i="1"/>
  <c r="P50" i="1" s="1"/>
  <c r="I32" i="1"/>
  <c r="F140" i="5"/>
  <c r="G140" i="5" s="1"/>
  <c r="I140" i="5" s="1"/>
  <c r="L60" i="3"/>
  <c r="I32" i="6"/>
  <c r="J138" i="6"/>
  <c r="J141" i="6" s="1"/>
  <c r="J137" i="6"/>
  <c r="I337" i="4"/>
  <c r="I98" i="3" s="1"/>
  <c r="I99" i="3" s="1"/>
  <c r="I384" i="4"/>
  <c r="I29" i="3"/>
  <c r="H137" i="6"/>
  <c r="H138" i="6" s="1"/>
  <c r="J32" i="6"/>
  <c r="J29" i="6"/>
  <c r="L90" i="4"/>
  <c r="L417" i="4" s="1"/>
  <c r="I137" i="6"/>
  <c r="I138" i="6" s="1"/>
  <c r="I141" i="6" s="1"/>
  <c r="I26" i="6"/>
  <c r="K137" i="6"/>
  <c r="K138" i="6" s="1"/>
  <c r="K141" i="6" s="1"/>
  <c r="K32" i="6"/>
  <c r="L137" i="6"/>
  <c r="L138" i="6" s="1"/>
  <c r="L141" i="6" s="1"/>
  <c r="K33" i="6"/>
  <c r="G167" i="6"/>
  <c r="H251" i="6"/>
  <c r="G251" i="6" s="1"/>
  <c r="G161" i="6"/>
  <c r="L111" i="6"/>
  <c r="G171" i="6" s="1"/>
  <c r="H28" i="6"/>
  <c r="H26" i="6"/>
  <c r="I30" i="6"/>
  <c r="J27" i="6"/>
  <c r="H34" i="6"/>
  <c r="J28" i="6"/>
  <c r="K30" i="6"/>
  <c r="J41" i="6"/>
  <c r="L30" i="6"/>
  <c r="I34" i="6"/>
  <c r="H30" i="6"/>
  <c r="I29" i="6"/>
  <c r="I41" i="6"/>
  <c r="I27" i="6"/>
  <c r="H31" i="6"/>
  <c r="I28" i="6"/>
  <c r="J33" i="6"/>
  <c r="K26" i="6"/>
  <c r="J31" i="6"/>
  <c r="L34" i="6"/>
  <c r="K29" i="6"/>
  <c r="K34" i="6"/>
  <c r="H32" i="6"/>
  <c r="J26" i="6"/>
  <c r="K28" i="6"/>
  <c r="L32" i="6"/>
  <c r="J30" i="6"/>
  <c r="L26" i="6"/>
  <c r="L31" i="6"/>
  <c r="H27" i="6"/>
  <c r="H231" i="6" l="1"/>
  <c r="I260" i="4"/>
  <c r="I63" i="3" s="1"/>
  <c r="I73" i="3" s="1"/>
  <c r="F75" i="5"/>
  <c r="H250" i="6"/>
  <c r="G250" i="6" s="1"/>
  <c r="H141" i="6"/>
  <c r="G143" i="6" s="1"/>
  <c r="G165" i="6"/>
  <c r="I136" i="5"/>
  <c r="G136" i="5"/>
  <c r="E139" i="5"/>
  <c r="G137" i="5"/>
  <c r="I137" i="5" s="1"/>
  <c r="G231" i="6"/>
  <c r="H225" i="6"/>
  <c r="G225" i="6"/>
  <c r="G168" i="6"/>
  <c r="G170" i="6" s="1"/>
  <c r="I217" i="4"/>
  <c r="I62" i="3"/>
  <c r="E75" i="5" s="1"/>
  <c r="H230" i="6"/>
  <c r="G230" i="6"/>
  <c r="H257" i="6"/>
  <c r="G257" i="6" s="1"/>
  <c r="I242" i="4"/>
  <c r="I130" i="3"/>
  <c r="I30" i="3"/>
  <c r="I271" i="4"/>
  <c r="I311" i="4"/>
  <c r="I34" i="1"/>
  <c r="I118" i="6"/>
  <c r="I119" i="6" s="1"/>
  <c r="I424" i="4" l="1"/>
  <c r="I88" i="3"/>
  <c r="G237" i="6"/>
  <c r="G166" i="6"/>
  <c r="I225" i="4"/>
  <c r="I313" i="4"/>
  <c r="I315" i="4" s="1"/>
  <c r="I319" i="4" s="1"/>
  <c r="F70" i="5"/>
  <c r="I303" i="4"/>
  <c r="I326" i="4" s="1"/>
  <c r="G75" i="5"/>
  <c r="I75" i="5" s="1"/>
  <c r="E70" i="5"/>
  <c r="I115" i="6"/>
  <c r="F71" i="5"/>
  <c r="G139" i="5"/>
  <c r="I139" i="5" s="1"/>
  <c r="G172" i="6"/>
  <c r="G173" i="6" s="1"/>
  <c r="H226" i="6" l="1"/>
  <c r="G226" i="6" s="1"/>
  <c r="G178" i="6"/>
  <c r="G70" i="5"/>
  <c r="I70" i="5" s="1"/>
  <c r="G243" i="6"/>
  <c r="G15" i="6"/>
  <c r="I307" i="4"/>
  <c r="F76" i="5"/>
  <c r="I321" i="4"/>
  <c r="E71" i="5"/>
  <c r="H224" i="6"/>
  <c r="H255" i="6"/>
  <c r="G255" i="6" s="1"/>
  <c r="G224" i="6"/>
  <c r="I329" i="4"/>
  <c r="I331" i="4" s="1"/>
  <c r="I332" i="4" s="1"/>
  <c r="G71" i="5" l="1"/>
  <c r="I71" i="5" s="1"/>
  <c r="I301" i="4"/>
  <c r="I114" i="3"/>
  <c r="G200" i="6"/>
  <c r="G11" i="6"/>
  <c r="I323" i="4"/>
  <c r="I426" i="4" s="1"/>
  <c r="H227" i="6" l="1"/>
  <c r="G203" i="6"/>
  <c r="G227" i="6"/>
  <c r="G12" i="6"/>
  <c r="E74" i="5"/>
  <c r="E76" i="5"/>
  <c r="I131" i="3"/>
  <c r="I133" i="3" s="1"/>
  <c r="I37" i="1"/>
  <c r="I244" i="4"/>
  <c r="I204" i="4"/>
  <c r="I229" i="4" s="1"/>
  <c r="I137" i="3" l="1"/>
  <c r="F21" i="5"/>
  <c r="G76" i="5"/>
  <c r="I76" i="5" s="1"/>
  <c r="I236" i="4"/>
  <c r="I238" i="4" s="1"/>
  <c r="I232" i="4"/>
  <c r="G25" i="6"/>
  <c r="H228" i="6"/>
  <c r="G8" i="6"/>
  <c r="G10" i="6" s="1"/>
  <c r="G228" i="6"/>
  <c r="G204" i="6"/>
  <c r="H229" i="6"/>
  <c r="H252" i="6"/>
  <c r="G252" i="6" s="1"/>
  <c r="G229" i="6"/>
  <c r="F74" i="5"/>
  <c r="G74" i="5" s="1"/>
  <c r="I74" i="5" s="1"/>
  <c r="I253" i="4"/>
  <c r="F69" i="5"/>
  <c r="J227" i="4" l="1"/>
  <c r="I78" i="3"/>
  <c r="I80" i="3"/>
  <c r="J235" i="4"/>
  <c r="J241" i="4"/>
  <c r="I86" i="3"/>
  <c r="I160" i="4"/>
  <c r="I161" i="4" s="1"/>
  <c r="I35" i="1" s="1"/>
  <c r="J134" i="3"/>
  <c r="I51" i="3"/>
  <c r="E21" i="5"/>
  <c r="I87" i="3" l="1"/>
  <c r="I89" i="3" s="1"/>
  <c r="F20" i="5" s="1"/>
  <c r="J310" i="4"/>
  <c r="I423" i="4"/>
  <c r="E69" i="5"/>
  <c r="G21" i="5"/>
  <c r="I21" i="5" s="1"/>
  <c r="F79" i="5"/>
  <c r="E52" i="5"/>
  <c r="I415" i="4"/>
  <c r="J152" i="4"/>
  <c r="J317" i="4" s="1"/>
  <c r="J318" i="4" s="1"/>
  <c r="I164" i="4"/>
  <c r="I165" i="4" s="1"/>
  <c r="J163" i="4"/>
  <c r="I52" i="3"/>
  <c r="I53" i="3" s="1"/>
  <c r="E20" i="5" l="1"/>
  <c r="I91" i="3"/>
  <c r="I75" i="3"/>
  <c r="G69" i="5"/>
  <c r="I69" i="5" s="1"/>
  <c r="J166" i="4"/>
  <c r="J168" i="4" s="1"/>
  <c r="G52" i="5"/>
  <c r="I52" i="5" s="1"/>
  <c r="J170" i="4" l="1"/>
  <c r="J380" i="4" s="1"/>
  <c r="F84" i="5"/>
  <c r="J355" i="4"/>
  <c r="I414" i="4"/>
  <c r="G20" i="5"/>
  <c r="I20" i="5" s="1"/>
  <c r="J114" i="6" l="1"/>
  <c r="J360" i="4"/>
  <c r="J97" i="3" s="1"/>
  <c r="J382" i="4"/>
  <c r="J26" i="3"/>
  <c r="E84" i="5" s="1"/>
  <c r="G84" i="5" l="1"/>
  <c r="I84" i="5" s="1"/>
  <c r="J383" i="4"/>
  <c r="J28" i="3"/>
  <c r="J32" i="1" l="1"/>
  <c r="J31" i="1"/>
  <c r="P51" i="1" s="1"/>
  <c r="J384" i="4"/>
  <c r="J337" i="4"/>
  <c r="J98" i="3" s="1"/>
  <c r="J99" i="3" s="1"/>
  <c r="J29" i="3"/>
  <c r="F102" i="5" s="1"/>
  <c r="J260" i="4"/>
  <c r="J311" i="4" l="1"/>
  <c r="J34" i="1"/>
  <c r="J118" i="6"/>
  <c r="J119" i="6" s="1"/>
  <c r="J217" i="4"/>
  <c r="J62" i="3"/>
  <c r="E102" i="5" s="1"/>
  <c r="J63" i="3"/>
  <c r="J73" i="3" s="1"/>
  <c r="J242" i="4"/>
  <c r="J271" i="4" s="1"/>
  <c r="J130" i="3"/>
  <c r="J30" i="3"/>
  <c r="G102" i="5" l="1"/>
  <c r="I102" i="5" s="1"/>
  <c r="E97" i="5"/>
  <c r="J115" i="6"/>
  <c r="F98" i="5"/>
  <c r="J225" i="4"/>
  <c r="J313" i="4"/>
  <c r="J424" i="4"/>
  <c r="J88" i="3"/>
  <c r="F97" i="5"/>
  <c r="J303" i="4"/>
  <c r="J326" i="4" s="1"/>
  <c r="J315" i="4"/>
  <c r="J319" i="4" s="1"/>
  <c r="J329" i="4" l="1"/>
  <c r="J331" i="4" s="1"/>
  <c r="J332" i="4" s="1"/>
  <c r="G97" i="5"/>
  <c r="I97" i="5" s="1"/>
  <c r="E98" i="5"/>
  <c r="F103" i="5"/>
  <c r="J307" i="4"/>
  <c r="J321" i="4"/>
  <c r="G98" i="5" l="1"/>
  <c r="I98" i="5" s="1"/>
  <c r="J301" i="4"/>
  <c r="J114" i="3"/>
  <c r="J323" i="4"/>
  <c r="J426" i="4" s="1"/>
  <c r="E103" i="5" l="1"/>
  <c r="J37" i="1"/>
  <c r="E101" i="5"/>
  <c r="J131" i="3"/>
  <c r="J133" i="3" s="1"/>
  <c r="J244" i="4"/>
  <c r="J204" i="4"/>
  <c r="J229" i="4" s="1"/>
  <c r="J236" i="4" l="1"/>
  <c r="J238" i="4" s="1"/>
  <c r="J232" i="4"/>
  <c r="F101" i="5"/>
  <c r="G101" i="5" s="1"/>
  <c r="I101" i="5" s="1"/>
  <c r="F96" i="5"/>
  <c r="J253" i="4"/>
  <c r="J137" i="3"/>
  <c r="F23" i="5"/>
  <c r="G103" i="5"/>
  <c r="I103" i="5" s="1"/>
  <c r="K241" i="4" l="1"/>
  <c r="J86" i="3"/>
  <c r="E23" i="5"/>
  <c r="K134" i="3"/>
  <c r="J51" i="3"/>
  <c r="J160" i="4"/>
  <c r="J161" i="4" s="1"/>
  <c r="J35" i="1" s="1"/>
  <c r="K227" i="4"/>
  <c r="J78" i="3"/>
  <c r="J87" i="3" s="1"/>
  <c r="J89" i="3" s="1"/>
  <c r="F22" i="5" s="1"/>
  <c r="K235" i="4"/>
  <c r="J80" i="3"/>
  <c r="K163" i="4" l="1"/>
  <c r="F106" i="5"/>
  <c r="J415" i="4"/>
  <c r="K152" i="4"/>
  <c r="K317" i="4" s="1"/>
  <c r="K318" i="4" s="1"/>
  <c r="J164" i="4"/>
  <c r="J165" i="4" s="1"/>
  <c r="E79" i="5"/>
  <c r="J52" i="3"/>
  <c r="J53" i="3" s="1"/>
  <c r="E96" i="5"/>
  <c r="J423" i="4"/>
  <c r="K310" i="4"/>
  <c r="G23" i="5"/>
  <c r="I23" i="5" s="1"/>
  <c r="E22" i="5" l="1"/>
  <c r="J91" i="3"/>
  <c r="J75" i="3"/>
  <c r="G79" i="5"/>
  <c r="I79" i="5" s="1"/>
  <c r="K166" i="4"/>
  <c r="K168" i="4" s="1"/>
  <c r="G96" i="5"/>
  <c r="I96" i="5" s="1"/>
  <c r="F111" i="5" l="1"/>
  <c r="K355" i="4"/>
  <c r="K170" i="4"/>
  <c r="K380" i="4" s="1"/>
  <c r="J414" i="4"/>
  <c r="G22" i="5"/>
  <c r="I22" i="5" s="1"/>
  <c r="K26" i="3" l="1"/>
  <c r="E111" i="5" s="1"/>
  <c r="K382" i="4"/>
  <c r="K114" i="6"/>
  <c r="K360" i="4"/>
  <c r="K97" i="3" s="1"/>
  <c r="K383" i="4" l="1"/>
  <c r="K28" i="3"/>
  <c r="G111" i="5"/>
  <c r="I111" i="5" s="1"/>
  <c r="K32" i="1" l="1"/>
  <c r="K31" i="1"/>
  <c r="P52" i="1" s="1"/>
  <c r="K384" i="4"/>
  <c r="K337" i="4"/>
  <c r="K98" i="3" s="1"/>
  <c r="K99" i="3" s="1"/>
  <c r="K29" i="3"/>
  <c r="K260" i="4" l="1"/>
  <c r="K311" i="4"/>
  <c r="K34" i="1"/>
  <c r="K118" i="6"/>
  <c r="K119" i="6" s="1"/>
  <c r="F129" i="5"/>
  <c r="K242" i="4"/>
  <c r="K130" i="3"/>
  <c r="K30" i="3"/>
  <c r="K271" i="4" l="1"/>
  <c r="K424" i="4"/>
  <c r="K88" i="3"/>
  <c r="K225" i="4"/>
  <c r="K313" i="4"/>
  <c r="K315" i="4" s="1"/>
  <c r="K319" i="4" s="1"/>
  <c r="F124" i="5"/>
  <c r="K303" i="4"/>
  <c r="K326" i="4" s="1"/>
  <c r="E124" i="5"/>
  <c r="K115" i="6"/>
  <c r="F125" i="5"/>
  <c r="K217" i="4"/>
  <c r="K62" i="3"/>
  <c r="E129" i="5" s="1"/>
  <c r="K63" i="3"/>
  <c r="K73" i="3" s="1"/>
  <c r="F130" i="5" l="1"/>
  <c r="K307" i="4"/>
  <c r="K321" i="4"/>
  <c r="K323" i="4" s="1"/>
  <c r="K426" i="4" s="1"/>
  <c r="G124" i="5"/>
  <c r="I124" i="5" s="1"/>
  <c r="E125" i="5"/>
  <c r="K329" i="4"/>
  <c r="K331" i="4" s="1"/>
  <c r="K332" i="4" s="1"/>
  <c r="G129" i="5"/>
  <c r="I129" i="5" s="1"/>
  <c r="G125" i="5" l="1"/>
  <c r="I125" i="5" s="1"/>
  <c r="K301" i="4"/>
  <c r="K114" i="3"/>
  <c r="E128" i="5" l="1"/>
  <c r="E130" i="5"/>
  <c r="K131" i="3"/>
  <c r="K133" i="3" s="1"/>
  <c r="K37" i="1"/>
  <c r="K244" i="4"/>
  <c r="K204" i="4"/>
  <c r="K229" i="4" s="1"/>
  <c r="K137" i="3" l="1"/>
  <c r="F25" i="5"/>
  <c r="K236" i="4"/>
  <c r="K238" i="4" s="1"/>
  <c r="K232" i="4"/>
  <c r="F128" i="5"/>
  <c r="G128" i="5" s="1"/>
  <c r="K253" i="4"/>
  <c r="F123" i="5"/>
  <c r="I130" i="5"/>
  <c r="G130" i="5"/>
  <c r="L241" i="4" l="1"/>
  <c r="K86" i="3"/>
  <c r="L227" i="4"/>
  <c r="K78" i="3"/>
  <c r="I128" i="5"/>
  <c r="L235" i="4"/>
  <c r="K80" i="3"/>
  <c r="E25" i="5"/>
  <c r="L134" i="3"/>
  <c r="K51" i="3"/>
  <c r="K160" i="4"/>
  <c r="K161" i="4" s="1"/>
  <c r="K35" i="1" s="1"/>
  <c r="K87" i="3" l="1"/>
  <c r="K89" i="3" s="1"/>
  <c r="F24" i="5" s="1"/>
  <c r="E106" i="5"/>
  <c r="K415" i="4"/>
  <c r="L163" i="4"/>
  <c r="F133" i="5"/>
  <c r="L152" i="4"/>
  <c r="L317" i="4" s="1"/>
  <c r="L318" i="4" s="1"/>
  <c r="K164" i="4"/>
  <c r="K165" i="4" s="1"/>
  <c r="K52" i="3"/>
  <c r="K53" i="3" s="1"/>
  <c r="K423" i="4"/>
  <c r="E123" i="5"/>
  <c r="G25" i="5"/>
  <c r="I25" i="5" s="1"/>
  <c r="L310" i="4"/>
  <c r="G106" i="5" l="1"/>
  <c r="I106" i="5" s="1"/>
  <c r="E24" i="5"/>
  <c r="K91" i="3"/>
  <c r="K75" i="3"/>
  <c r="L166" i="4"/>
  <c r="L168" i="4" s="1"/>
  <c r="G123" i="5"/>
  <c r="I123" i="5" s="1"/>
  <c r="K414" i="4" l="1"/>
  <c r="F138" i="5"/>
  <c r="L170" i="4"/>
  <c r="L380" i="4" s="1"/>
  <c r="L355" i="4"/>
  <c r="G24" i="5"/>
  <c r="I24" i="5" s="1"/>
  <c r="L114" i="6" l="1"/>
  <c r="L360" i="4"/>
  <c r="L97" i="3" s="1"/>
  <c r="L26" i="3"/>
  <c r="E138" i="5" s="1"/>
  <c r="L382" i="4"/>
  <c r="G138" i="5" l="1"/>
  <c r="I138" i="5" s="1"/>
  <c r="L28" i="3"/>
  <c r="L383" i="4"/>
  <c r="L31" i="1" l="1"/>
  <c r="P53" i="1" s="1"/>
  <c r="L32" i="1"/>
  <c r="L384" i="4"/>
  <c r="L337" i="4"/>
  <c r="L98" i="3" s="1"/>
  <c r="L99" i="3" s="1"/>
  <c r="L29" i="3"/>
  <c r="F156" i="5" s="1"/>
  <c r="L260" i="4"/>
  <c r="L311" i="4" l="1"/>
  <c r="L34" i="1"/>
  <c r="L118" i="6"/>
  <c r="L119" i="6" s="1"/>
  <c r="L242" i="4"/>
  <c r="L130" i="3"/>
  <c r="L30" i="3"/>
  <c r="L271" i="4"/>
  <c r="L217" i="4"/>
  <c r="L62" i="3"/>
  <c r="E156" i="5" s="1"/>
  <c r="L63" i="3"/>
  <c r="L73" i="3" s="1"/>
  <c r="E151" i="5" l="1"/>
  <c r="L115" i="6"/>
  <c r="F152" i="5"/>
  <c r="H221" i="6"/>
  <c r="G221" i="6"/>
  <c r="F151" i="5"/>
  <c r="L303" i="4"/>
  <c r="L326" i="4" s="1"/>
  <c r="L329" i="4" s="1"/>
  <c r="L331" i="4" s="1"/>
  <c r="L332" i="4" s="1"/>
  <c r="G156" i="5"/>
  <c r="I156" i="5" s="1"/>
  <c r="L424" i="4"/>
  <c r="L88" i="3"/>
  <c r="E152" i="5" s="1"/>
  <c r="L225" i="4"/>
  <c r="L313" i="4"/>
  <c r="L315" i="4" s="1"/>
  <c r="L319" i="4" s="1"/>
  <c r="F157" i="5" l="1"/>
  <c r="L307" i="4"/>
  <c r="L321" i="4"/>
  <c r="G152" i="5"/>
  <c r="I152" i="5" s="1"/>
  <c r="G151" i="5"/>
  <c r="I151" i="5" s="1"/>
  <c r="L301" i="4" l="1"/>
  <c r="L114" i="3"/>
  <c r="L323" i="4"/>
  <c r="L426" i="4" s="1"/>
  <c r="E157" i="5" l="1"/>
  <c r="E155" i="5"/>
  <c r="L131" i="3"/>
  <c r="L133" i="3" s="1"/>
  <c r="L37" i="1"/>
  <c r="L244" i="4"/>
  <c r="L204" i="4"/>
  <c r="L229" i="4" s="1"/>
  <c r="L236" i="4" l="1"/>
  <c r="L238" i="4" s="1"/>
  <c r="L80" i="3" s="1"/>
  <c r="L232" i="4"/>
  <c r="L78" i="3" s="1"/>
  <c r="L87" i="3" s="1"/>
  <c r="L89" i="3" s="1"/>
  <c r="F26" i="5" s="1"/>
  <c r="L137" i="3"/>
  <c r="F27" i="5"/>
  <c r="F155" i="5"/>
  <c r="F150" i="5"/>
  <c r="L253" i="4"/>
  <c r="L86" i="3" s="1"/>
  <c r="G157" i="5"/>
  <c r="I157" i="5" s="1"/>
  <c r="G155" i="5" l="1"/>
  <c r="I155" i="5" s="1"/>
  <c r="E27" i="5"/>
  <c r="L160" i="4"/>
  <c r="L161" i="4" s="1"/>
  <c r="L35" i="1" s="1"/>
  <c r="L51" i="3"/>
  <c r="E150" i="5"/>
  <c r="L423" i="4"/>
  <c r="E133" i="5" l="1"/>
  <c r="L415" i="4"/>
  <c r="L164" i="4"/>
  <c r="L165" i="4" s="1"/>
  <c r="L52" i="3"/>
  <c r="L53" i="3" s="1"/>
  <c r="G150" i="5"/>
  <c r="I150" i="5" s="1"/>
  <c r="G27" i="5"/>
  <c r="I27" i="5" s="1"/>
  <c r="E26" i="5" l="1"/>
  <c r="L91" i="3"/>
  <c r="L75" i="3"/>
  <c r="G133" i="5"/>
  <c r="I133" i="5" s="1"/>
  <c r="L414" i="4" l="1"/>
  <c r="G239" i="6"/>
  <c r="G16" i="6" s="1"/>
  <c r="H239" i="6"/>
  <c r="G26" i="5"/>
  <c r="I26" i="5" s="1"/>
  <c r="E6" i="5" s="1"/>
  <c r="D1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100-000001000000}">
      <text>
        <r>
          <rPr>
            <sz val="11"/>
            <rFont val="Carlito"/>
          </rPr>
          <t>52-week base in FY2027; subsequent annual statutory growth.</t>
        </r>
      </text>
    </comment>
    <comment ref="C10" authorId="0" shapeId="0" xr:uid="{00000000-0006-0000-0100-000002000000}">
      <text>
        <r>
          <rPr>
            <sz val="11"/>
            <rFont val="Carlito"/>
          </rPr>
          <t>Independent consolidated cost ratio.</t>
        </r>
      </text>
    </comment>
    <comment ref="C11" authorId="0" shapeId="0" xr:uid="{00000000-0006-0000-0100-000003000000}">
      <text>
        <r>
          <rPr>
            <sz val="11"/>
            <rFont val="Carlito"/>
          </rPr>
          <t>Gradual efficiency assumption; 14.65% in FY2029.</t>
        </r>
      </text>
    </comment>
    <comment ref="C12" authorId="0" shapeId="0" xr:uid="{00000000-0006-0000-0100-000004000000}">
      <text>
        <r>
          <rPr>
            <sz val="11"/>
            <rFont val="Carlito"/>
          </rPr>
          <t>Gradual efficiency assumption; 10.75% in FY2030.</t>
        </r>
      </text>
    </comment>
    <comment ref="C13" authorId="0" shapeId="0" xr:uid="{00000000-0006-0000-0100-000005000000}">
      <text>
        <r>
          <rPr>
            <sz val="11"/>
            <rFont val="Carlito"/>
          </rPr>
          <t>Net impairment expense; credit-book growth is separate.</t>
        </r>
      </text>
    </comment>
    <comment ref="C14" authorId="0" shapeId="0" xr:uid="{00000000-0006-0000-0100-000006000000}">
      <text>
        <r>
          <rPr>
            <sz val="11"/>
            <rFont val="Carlito"/>
          </rPr>
          <t>Independent share-of-profit forecast.</t>
        </r>
      </text>
    </comment>
    <comment ref="C19" authorId="0" shapeId="0" xr:uid="{00000000-0006-0000-0100-000007000000}">
      <text>
        <r>
          <rPr>
            <sz val="11"/>
            <color rgb="FF000000"/>
            <rFont val="Carlito"/>
          </rPr>
          <t>Applies to NEXT Finance customer receivables from FY2028.</t>
        </r>
      </text>
    </comment>
    <comment ref="C24" authorId="0" shapeId="0" xr:uid="{00000000-0006-0000-0100-000008000000}">
      <text>
        <r>
          <rPr>
            <sz val="11"/>
            <rFont val="Carlito"/>
          </rPr>
          <t>Warehouse plan anchors FY2028–30; FY2031 is a model estimate.</t>
        </r>
      </text>
    </comment>
    <comment ref="C33" authorId="0" shapeId="0" xr:uid="{00000000-0006-0000-0100-000009000000}">
      <text>
        <r>
          <rPr>
            <sz val="11"/>
            <rFont val="Carlito"/>
          </rPr>
          <t>£100m minimum closing cash from FY2028; seasonal needs unmodelled.</t>
        </r>
      </text>
    </comment>
    <comment ref="C34" authorId="0" shapeId="0" xr:uid="{00000000-0006-0000-0100-00000A000000}">
      <text>
        <r>
          <rPr>
            <sz val="11"/>
            <rFont val="Carlito"/>
          </rPr>
          <t>Bank/RCF draw balance. £696m total debt is a temporary financing case.</t>
        </r>
      </text>
    </comment>
    <comment ref="C38" authorId="0" shapeId="0" xr:uid="{00000000-0006-0000-0100-00000B000000}">
      <text>
        <r>
          <rPr>
            <sz val="11"/>
            <rFont val="Carlito"/>
          </rPr>
          <t>Refinancing in FY2029 for the bond due May 2028.</t>
        </r>
      </text>
    </comment>
    <comment ref="C39" authorId="0" shapeId="0" xr:uid="{00000000-0006-0000-0100-00000C000000}">
      <text>
        <r>
          <rPr>
            <sz val="11"/>
            <rFont val="Carlito"/>
          </rPr>
          <t>Renewal assumed for the £525m RCF expiring June 2029.</t>
        </r>
      </text>
    </comment>
    <comment ref="C45" authorId="0" shapeId="0" xr:uid="{00000000-0006-0000-0100-00000D000000}">
      <text>
        <r>
          <rPr>
            <sz val="11"/>
            <rFont val="Carlito"/>
          </rPr>
          <t>Economic payout cross-check; cash paid follows the approved payment plan.</t>
        </r>
      </text>
    </comment>
    <comment ref="C46" authorId="0" shapeId="0" xr:uid="{00000000-0006-0000-0100-00000E000000}">
      <text>
        <r>
          <rPr>
            <sz val="11"/>
            <rFont val="Carlito"/>
          </rPr>
          <t>Approved cash plan; compare with the 60/40 timing illustration in Schedules.</t>
        </r>
      </text>
    </comment>
    <comment ref="C47" authorId="0" shapeId="0" xr:uid="{00000000-0006-0000-0100-00000F000000}">
      <text>
        <r>
          <rPr>
            <sz val="11"/>
            <rFont val="Carlito"/>
          </rPr>
          <t>Independent repurchase price; no market-price forecast is implied.</t>
        </r>
      </text>
    </comment>
    <comment ref="C49" authorId="0" shapeId="0" xr:uid="{00000000-0006-0000-0100-000010000000}">
      <text>
        <r>
          <rPr>
            <sz val="11"/>
            <rFont val="Carlito"/>
          </rPr>
          <t>1 routes residual returns to buybacks, 0 to special capital return.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300-000001000000}">
      <text>
        <r>
          <rPr>
            <sz val="11"/>
            <rFont val="Carlito"/>
          </rPr>
          <t>Supporting schedule input. Accepted annual forecast input or calculation. See source register.</t>
        </r>
      </text>
    </comment>
    <comment ref="C11" authorId="0" shapeId="0" xr:uid="{00000000-0006-0000-0300-000002000000}">
      <text>
        <r>
          <rPr>
            <sz val="11"/>
            <rFont val="Carlito"/>
          </rPr>
          <t>Zero-event assumption. Accepted annual forecast input or calculation. See source register.</t>
        </r>
      </text>
    </comment>
    <comment ref="C12" authorId="0" shapeId="0" xr:uid="{00000000-0006-0000-0300-000003000000}">
      <text>
        <r>
          <rPr>
            <sz val="11"/>
            <rFont val="Carlito"/>
          </rPr>
          <t>Key visible driver. Accepted annual forecast input or calculation. See source register.</t>
        </r>
      </text>
    </comment>
    <comment ref="C13" authorId="0" shapeId="0" xr:uid="{00000000-0006-0000-0300-000021000000}">
      <text>
        <r>
          <rPr>
            <sz val="11"/>
            <rFont val="Carlito"/>
          </rPr>
          <t>Zero-event assumption. Accepted annual forecast input or calculation. See source register.</t>
        </r>
      </text>
    </comment>
    <comment ref="C14" authorId="0" shapeId="0" xr:uid="{00000000-0006-0000-0300-000026000000}">
      <text>
        <r>
          <rPr>
            <sz val="11"/>
            <rFont val="Carlito"/>
          </rPr>
          <t>Zero-event assumption. Accepted annual forecast input or calculation. See source register.</t>
        </r>
      </text>
    </comment>
    <comment ref="C15" authorId="0" shapeId="0" xr:uid="{00000000-0006-0000-0300-000046000000}">
      <text>
        <r>
          <rPr>
            <sz val="11"/>
            <rFont val="Carlito"/>
          </rPr>
          <t>Zero-event assumption. Accepted annual forecast input or calculation. See source register.</t>
        </r>
      </text>
    </comment>
    <comment ref="C16" authorId="0" shapeId="0" xr:uid="{00000000-0006-0000-0300-000047000000}">
      <text>
        <r>
          <rPr>
            <sz val="11"/>
            <rFont val="Carlito"/>
          </rPr>
          <t>Zero-event assumption. Accepted annual forecast input or calculation. See source register.</t>
        </r>
      </text>
    </comment>
    <comment ref="C17" authorId="0" shapeId="0" xr:uid="{00000000-0006-0000-0300-000048000000}">
      <text>
        <r>
          <rPr>
            <sz val="11"/>
            <rFont val="Carlito"/>
          </rPr>
          <t>Zero-event assumption. Accepted annual forecast input or calculation. See source register.</t>
        </r>
      </text>
    </comment>
    <comment ref="C29" authorId="0" shapeId="0" xr:uid="{00000000-0006-0000-0300-000004000000}">
      <text>
        <r>
          <rPr>
            <sz val="11"/>
            <rFont val="Carlito"/>
          </rPr>
          <t>Supporting schedule input. Accepted annual forecast input or calculation. See source register.</t>
        </r>
      </text>
    </comment>
    <comment ref="C30" authorId="0" shapeId="0" xr:uid="{00000000-0006-0000-0300-000024000000}">
      <text>
        <r>
          <rPr>
            <sz val="11"/>
            <rFont val="Carlito"/>
          </rPr>
          <t>Zero-event assumption. Accepted annual forecast input or calculation. See source register.</t>
        </r>
      </text>
    </comment>
    <comment ref="C31" authorId="0" shapeId="0" xr:uid="{00000000-0006-0000-0300-000025000000}">
      <text>
        <r>
          <rPr>
            <sz val="11"/>
            <rFont val="Carlito"/>
          </rPr>
          <t>Zero-event assumption. Accepted annual forecast input or calculation. See source register.</t>
        </r>
      </text>
    </comment>
    <comment ref="C32" authorId="0" shapeId="0" xr:uid="{00000000-0006-0000-0300-00002C000000}">
      <text>
        <r>
          <rPr>
            <sz val="11"/>
            <rFont val="Carlito"/>
          </rPr>
          <t>Zero-event assumption. Accepted annual forecast input or calculation. See source register.</t>
        </r>
      </text>
    </comment>
    <comment ref="C33" authorId="0" shapeId="0" xr:uid="{00000000-0006-0000-0300-000031000000}">
      <text>
        <r>
          <rPr>
            <sz val="11"/>
            <rFont val="Carlito"/>
          </rPr>
          <t>Zero-event assumption. Accepted annual forecast input or calculation. See source register.</t>
        </r>
      </text>
    </comment>
    <comment ref="C34" authorId="0" shapeId="0" xr:uid="{00000000-0006-0000-0300-000049000000}">
      <text>
        <r>
          <rPr>
            <sz val="11"/>
            <rFont val="Carlito"/>
          </rPr>
          <t>Zero-event assumption. Accepted annual forecast input or calculation. See source register.</t>
        </r>
      </text>
    </comment>
    <comment ref="C35" authorId="0" shapeId="0" xr:uid="{00000000-0006-0000-0300-00004A000000}">
      <text>
        <r>
          <rPr>
            <sz val="11"/>
            <rFont val="Carlito"/>
          </rPr>
          <t>Zero-event assumption. Accepted annual forecast input or calculation. See source register.</t>
        </r>
      </text>
    </comment>
    <comment ref="C36" authorId="0" shapeId="0" xr:uid="{00000000-0006-0000-0300-00004B000000}">
      <text>
        <r>
          <rPr>
            <sz val="11"/>
            <rFont val="Carlito"/>
          </rPr>
          <t>Zero-event assumption. Accepted annual forecast input or calculation. See source register.</t>
        </r>
      </text>
    </comment>
    <comment ref="C37" authorId="0" shapeId="0" xr:uid="{00000000-0006-0000-0300-00004C000000}">
      <text>
        <r>
          <rPr>
            <sz val="11"/>
            <rFont val="Carlito"/>
          </rPr>
          <t>Zero-event assumption. Accepted annual forecast input or calculation. See source register.</t>
        </r>
      </text>
    </comment>
    <comment ref="C38" authorId="0" shapeId="0" xr:uid="{00000000-0006-0000-0300-000005000000}">
      <text>
        <r>
          <rPr>
            <sz val="11"/>
            <rFont val="Carlito"/>
          </rPr>
          <t>Temporary implementation assumption. Accepted annual forecast input or calculation. See source register.</t>
        </r>
      </text>
    </comment>
    <comment ref="C56" authorId="0" shapeId="0" xr:uid="{00000000-0006-0000-0300-00000F000000}">
      <text>
        <r>
          <rPr>
            <sz val="11"/>
            <rFont val="Carlito"/>
          </rPr>
          <t>Zero-event assumption. Accepted annual forecast input or calculation. See source register.</t>
        </r>
      </text>
    </comment>
    <comment ref="C57" authorId="0" shapeId="0" xr:uid="{00000000-0006-0000-0300-000010000000}">
      <text>
        <r>
          <rPr>
            <sz val="11"/>
            <rFont val="Carlito"/>
          </rPr>
          <t>Supporting schedule input. Accepted annual forecast input or calculation. See source register.</t>
        </r>
      </text>
    </comment>
    <comment ref="C58" authorId="0" shapeId="0" xr:uid="{00000000-0006-0000-0300-000011000000}">
      <text>
        <r>
          <rPr>
            <sz val="11"/>
            <rFont val="Carlito"/>
          </rPr>
          <t>Zero-event assumption. Accepted annual forecast input or calculation. See source register.</t>
        </r>
      </text>
    </comment>
    <comment ref="C59" authorId="0" shapeId="0" xr:uid="{00000000-0006-0000-0300-000012000000}">
      <text>
        <r>
          <rPr>
            <sz val="11"/>
            <rFont val="Carlito"/>
          </rPr>
          <t>Supporting schedule input. Accepted annual forecast input or calculation. See source register.</t>
        </r>
      </text>
    </comment>
    <comment ref="C60" authorId="0" shapeId="0" xr:uid="{00000000-0006-0000-0300-000022000000}">
      <text>
        <r>
          <rPr>
            <sz val="11"/>
            <rFont val="Carlito"/>
          </rPr>
          <t>Zero-event assumption. Accepted annual forecast input or calculation. See source register.</t>
        </r>
      </text>
    </comment>
    <comment ref="C61" authorId="0" shapeId="0" xr:uid="{00000000-0006-0000-0300-000023000000}">
      <text>
        <r>
          <rPr>
            <sz val="11"/>
            <rFont val="Carlito"/>
          </rPr>
          <t>Zero-event assumption. Accepted annual forecast input or calculation. See source register.</t>
        </r>
      </text>
    </comment>
    <comment ref="C62" authorId="0" shapeId="0" xr:uid="{00000000-0006-0000-0300-00002D000000}">
      <text>
        <r>
          <rPr>
            <sz val="11"/>
            <rFont val="Carlito"/>
          </rPr>
          <t>Zero-event assumption. Accepted annual forecast input or calculation. See source register.</t>
        </r>
      </text>
    </comment>
    <comment ref="C63" authorId="0" shapeId="0" xr:uid="{00000000-0006-0000-0300-00002E000000}">
      <text>
        <r>
          <rPr>
            <sz val="11"/>
            <rFont val="Carlito"/>
          </rPr>
          <t>Supporting schedule input. Accepted annual forecast input or calculation. See source register.</t>
        </r>
      </text>
    </comment>
    <comment ref="C64" authorId="0" shapeId="0" xr:uid="{00000000-0006-0000-0300-00002F000000}">
      <text>
        <r>
          <rPr>
            <sz val="11"/>
            <rFont val="Carlito"/>
          </rPr>
          <t>Supporting schedule input. Accepted annual forecast input or calculation. See source register.</t>
        </r>
      </text>
    </comment>
    <comment ref="C65" authorId="0" shapeId="0" xr:uid="{00000000-0006-0000-0300-000030000000}">
      <text>
        <r>
          <rPr>
            <sz val="11"/>
            <rFont val="Carlito"/>
          </rPr>
          <t>Supporting schedule input. Accepted annual forecast input or calculation. See source register.</t>
        </r>
      </text>
    </comment>
    <comment ref="C66" authorId="0" shapeId="0" xr:uid="{00000000-0006-0000-0300-00004F000000}">
      <text>
        <r>
          <rPr>
            <sz val="11"/>
            <rFont val="Carlito"/>
          </rPr>
          <t>Zero-event assumption. Accepted annual forecast input or calculation. See source register.</t>
        </r>
      </text>
    </comment>
    <comment ref="C96" authorId="0" shapeId="0" xr:uid="{00000000-0006-0000-0300-000006000000}">
      <text>
        <r>
          <rPr>
            <sz val="11"/>
            <rFont val="Carlito"/>
          </rPr>
          <t>Supporting schedule input. Accepted annual forecast input or calculation. See source register.</t>
        </r>
      </text>
    </comment>
    <comment ref="C97" authorId="0" shapeId="0" xr:uid="{00000000-0006-0000-0300-00000A000000}">
      <text>
        <r>
          <rPr>
            <sz val="11"/>
            <rFont val="Carlito"/>
          </rPr>
          <t>Supporting schedule input. Accepted annual forecast input or calculation. See source register.</t>
        </r>
      </text>
    </comment>
    <comment ref="C98" authorId="0" shapeId="0" xr:uid="{00000000-0006-0000-0300-00000B000000}">
      <text>
        <r>
          <rPr>
            <sz val="11"/>
            <rFont val="Carlito"/>
          </rPr>
          <t>Temporary implementation assumption. Accepted annual forecast input or calculation. See source register.</t>
        </r>
      </text>
    </comment>
    <comment ref="C99" authorId="0" shapeId="0" xr:uid="{00000000-0006-0000-0300-00000C000000}">
      <text>
        <r>
          <rPr>
            <sz val="11"/>
            <rFont val="Carlito"/>
          </rPr>
          <t>Supporting schedule input. Accepted annual forecast input or calculation. See source register.</t>
        </r>
      </text>
    </comment>
    <comment ref="C100" authorId="0" shapeId="0" xr:uid="{00000000-0006-0000-0300-00000D000000}">
      <text>
        <r>
          <rPr>
            <sz val="11"/>
            <rFont val="Carlito"/>
          </rPr>
          <t>Supporting schedule input. Accepted annual forecast input or calculation. See source register.</t>
        </r>
      </text>
    </comment>
    <comment ref="C101" authorId="0" shapeId="0" xr:uid="{00000000-0006-0000-0300-00000E000000}">
      <text>
        <r>
          <rPr>
            <sz val="11"/>
            <rFont val="Carlito"/>
          </rPr>
          <t>Temporary implementation assumption. Accepted annual forecast input or calculation. See source register.</t>
        </r>
      </text>
    </comment>
    <comment ref="C102" authorId="0" shapeId="0" xr:uid="{00000000-0006-0000-0300-00002B000000}">
      <text>
        <r>
          <rPr>
            <sz val="11"/>
            <rFont val="Carlito"/>
          </rPr>
          <t>Temporary implementation assumption. Accepted annual forecast input or calculation. See source register.</t>
        </r>
      </text>
    </comment>
    <comment ref="C103" authorId="0" shapeId="0" xr:uid="{00000000-0006-0000-0300-000034000000}">
      <text>
        <r>
          <rPr>
            <sz val="11"/>
            <rFont val="Carlito"/>
          </rPr>
          <t>Calculated output. Accepted annual forecast input or calculation. See source register.</t>
        </r>
      </text>
    </comment>
    <comment ref="C104" authorId="0" shapeId="0" xr:uid="{00000000-0006-0000-0300-000035000000}">
      <text>
        <r>
          <rPr>
            <sz val="11"/>
            <rFont val="Carlito"/>
          </rPr>
          <t>Supporting schedule input. Accepted annual forecast input or calculation. See source register.</t>
        </r>
      </text>
    </comment>
    <comment ref="C142" authorId="0" shapeId="0" xr:uid="{00000000-0006-0000-0300-000008000000}">
      <text>
        <r>
          <rPr>
            <sz val="11"/>
            <rFont val="Carlito"/>
          </rPr>
          <t>Calculated output. Accepted annual forecast input or calculation. See source register.</t>
        </r>
      </text>
    </comment>
    <comment ref="C143" authorId="0" shapeId="0" xr:uid="{00000000-0006-0000-0300-000018000000}">
      <text>
        <r>
          <rPr>
            <sz val="11"/>
            <rFont val="Carlito"/>
          </rPr>
          <t>Calculated output. Accepted annual forecast input or calculation. See source register.</t>
        </r>
      </text>
    </comment>
    <comment ref="C144" authorId="0" shapeId="0" xr:uid="{00000000-0006-0000-0300-00001E000000}">
      <text>
        <r>
          <rPr>
            <sz val="11"/>
            <rFont val="Carlito"/>
          </rPr>
          <t>Supporting schedule input. Accepted annual forecast input or calculation. See source register.</t>
        </r>
      </text>
    </comment>
    <comment ref="C145" authorId="0" shapeId="0" xr:uid="{00000000-0006-0000-0300-000036000000}">
      <text>
        <r>
          <rPr>
            <sz val="11"/>
            <rFont val="Carlito"/>
          </rPr>
          <t>Zero-event assumption. Accepted annual forecast input or calculation. See source register.</t>
        </r>
      </text>
    </comment>
    <comment ref="C146" authorId="0" shapeId="0" xr:uid="{00000000-0006-0000-0300-000037000000}">
      <text>
        <r>
          <rPr>
            <sz val="11"/>
            <rFont val="Carlito"/>
          </rPr>
          <t>Supporting schedule input. Accepted annual forecast input or calculation. See source register.</t>
        </r>
      </text>
    </comment>
    <comment ref="C147" authorId="0" shapeId="0" xr:uid="{00000000-0006-0000-0300-000038000000}">
      <text>
        <r>
          <rPr>
            <sz val="11"/>
            <rFont val="Carlito"/>
          </rPr>
          <t>Supporting schedule input. Accepted annual forecast input or calculation. See source register.</t>
        </r>
      </text>
    </comment>
    <comment ref="C148" authorId="0" shapeId="0" xr:uid="{00000000-0006-0000-0300-000039000000}">
      <text>
        <r>
          <rPr>
            <sz val="11"/>
            <rFont val="Carlito"/>
          </rPr>
          <t>Key visible driver. Accepted annual forecast input or calculation. See source register.</t>
        </r>
      </text>
    </comment>
    <comment ref="C149" authorId="0" shapeId="0" xr:uid="{00000000-0006-0000-0300-00003A000000}">
      <text>
        <r>
          <rPr>
            <sz val="11"/>
            <rFont val="Carlito"/>
          </rPr>
          <t>Key visible driver. Accepted annual forecast input or calculation. See source register.</t>
        </r>
      </text>
    </comment>
    <comment ref="C150" authorId="0" shapeId="0" xr:uid="{00000000-0006-0000-0300-00003E000000}">
      <text>
        <r>
          <rPr>
            <sz val="11"/>
            <rFont val="Carlito"/>
          </rPr>
          <t>Key visible driver. Accepted annual forecast input or calculation. See source register.</t>
        </r>
      </text>
    </comment>
    <comment ref="C151" authorId="0" shapeId="0" xr:uid="{00000000-0006-0000-0300-00003F000000}">
      <text>
        <r>
          <rPr>
            <sz val="11"/>
            <rFont val="Carlito"/>
          </rPr>
          <t>Zero-event assumption. Accepted annual forecast input or calculation. See source register.</t>
        </r>
      </text>
    </comment>
    <comment ref="C152" authorId="0" shapeId="0" xr:uid="{00000000-0006-0000-0300-000040000000}">
      <text>
        <r>
          <rPr>
            <sz val="11"/>
            <rFont val="Carlito"/>
          </rPr>
          <t>Calculated output. Accepted annual forecast input or calculation. See source register.</t>
        </r>
      </text>
    </comment>
    <comment ref="C153" authorId="0" shapeId="0" xr:uid="{00000000-0006-0000-0300-000059000000}">
      <text>
        <r>
          <rPr>
            <sz val="11"/>
            <rFont val="Carlito"/>
          </rPr>
          <t>Key visible driver. Accepted annual forecast input or calculation. See source register.</t>
        </r>
      </text>
    </comment>
    <comment ref="C154" authorId="0" shapeId="0" xr:uid="{00000000-0006-0000-0300-00005A000000}">
      <text>
        <r>
          <rPr>
            <sz val="11"/>
            <rFont val="Carlito"/>
          </rPr>
          <t>Key visible driver. Accepted annual forecast input or calculation. See source register.</t>
        </r>
      </text>
    </comment>
    <comment ref="C204" authorId="0" shapeId="0" xr:uid="{00000000-0006-0000-0300-000019000000}">
      <text>
        <r>
          <rPr>
            <sz val="11"/>
            <rFont val="Carlito"/>
          </rPr>
          <t>Calculated output. Accepted annual forecast input or calculation. See source register.</t>
        </r>
      </text>
    </comment>
    <comment ref="C205" authorId="0" shapeId="0" xr:uid="{00000000-0006-0000-0300-00001B000000}">
      <text>
        <r>
          <rPr>
            <sz val="11"/>
            <rFont val="Carlito"/>
          </rPr>
          <t>Supporting schedule input. Accepted annual forecast input or calculation. See source register.</t>
        </r>
      </text>
    </comment>
    <comment ref="C206" authorId="0" shapeId="0" xr:uid="{00000000-0006-0000-0300-00001C000000}">
      <text>
        <r>
          <rPr>
            <sz val="11"/>
            <rFont val="Carlito"/>
          </rPr>
          <t>Supporting schedule input. Accepted annual forecast input or calculation. See source register.</t>
        </r>
      </text>
    </comment>
    <comment ref="C207" authorId="0" shapeId="0" xr:uid="{00000000-0006-0000-0300-00001D000000}">
      <text>
        <r>
          <rPr>
            <sz val="11"/>
            <rFont val="Carlito"/>
          </rPr>
          <t>Supporting schedule input. Accepted annual forecast input or calculation. See source register.</t>
        </r>
      </text>
    </comment>
    <comment ref="C208" authorId="0" shapeId="0" xr:uid="{00000000-0006-0000-0300-000028000000}">
      <text>
        <r>
          <rPr>
            <sz val="11"/>
            <rFont val="Carlito"/>
          </rPr>
          <t>Supporting schedule input. Accepted annual forecast input or calculation. See source register.</t>
        </r>
      </text>
    </comment>
    <comment ref="C209" authorId="0" shapeId="0" xr:uid="{00000000-0006-0000-0300-000029000000}">
      <text>
        <r>
          <rPr>
            <sz val="11"/>
            <rFont val="Carlito"/>
          </rPr>
          <t>Supporting schedule input. Accepted annual forecast input or calculation. See source register.</t>
        </r>
      </text>
    </comment>
    <comment ref="C210" authorId="0" shapeId="0" xr:uid="{00000000-0006-0000-0300-00002A000000}">
      <text>
        <r>
          <rPr>
            <sz val="11"/>
            <rFont val="Carlito"/>
          </rPr>
          <t>Key visible driver. Accepted annual forecast input or calculation. See source register.</t>
        </r>
      </text>
    </comment>
    <comment ref="C211" authorId="0" shapeId="0" xr:uid="{00000000-0006-0000-0300-000032000000}">
      <text>
        <r>
          <rPr>
            <sz val="11"/>
            <rFont val="Carlito"/>
          </rPr>
          <t>Temporary implementation assumption. Accepted annual forecast input or calculation. See source register.</t>
        </r>
      </text>
    </comment>
    <comment ref="C212" authorId="0" shapeId="0" xr:uid="{00000000-0006-0000-0300-000020000000}">
      <text>
        <r>
          <rPr>
            <sz val="11"/>
            <rFont val="Carlito"/>
          </rPr>
          <t>Temporary implementation assumption. Accepted annual forecast input or calculation. See source register.</t>
        </r>
      </text>
    </comment>
    <comment ref="C213" authorId="0" shapeId="0" xr:uid="{00000000-0006-0000-0300-000016000000}">
      <text>
        <r>
          <rPr>
            <sz val="11"/>
            <rFont val="Carlito"/>
          </rPr>
          <t>Temporary implementation assumption. Accepted annual forecast input or calculation. See source register.</t>
        </r>
      </text>
    </comment>
    <comment ref="C214" authorId="0" shapeId="0" xr:uid="{00000000-0006-0000-0300-000007000000}">
      <text>
        <r>
          <rPr>
            <sz val="11"/>
            <rFont val="Carlito"/>
          </rPr>
          <t>Temporary implementation assumption. Accepted annual forecast input or calculation. See source register.</t>
        </r>
      </text>
    </comment>
    <comment ref="C215" authorId="0" shapeId="0" xr:uid="{00000000-0006-0000-0300-000009000000}">
      <text>
        <r>
          <rPr>
            <sz val="11"/>
            <rFont val="Carlito"/>
          </rPr>
          <t>Calculated output. Accepted annual forecast input or calculation. See source register.</t>
        </r>
      </text>
    </comment>
    <comment ref="C216" authorId="0" shapeId="0" xr:uid="{00000000-0006-0000-0300-000013000000}">
      <text>
        <r>
          <rPr>
            <sz val="11"/>
            <rFont val="Carlito"/>
          </rPr>
          <t>Temporary implementation assumption. Accepted annual forecast input or calculation. See source register.</t>
        </r>
      </text>
    </comment>
    <comment ref="C217" authorId="0" shapeId="0" xr:uid="{00000000-0006-0000-0300-000014000000}">
      <text>
        <r>
          <rPr>
            <sz val="11"/>
            <rFont val="Carlito"/>
          </rPr>
          <t>Calculated output. Accepted annual forecast input or calculation. See source register.</t>
        </r>
      </text>
    </comment>
    <comment ref="C218" authorId="0" shapeId="0" xr:uid="{00000000-0006-0000-0300-000015000000}">
      <text>
        <r>
          <rPr>
            <sz val="11"/>
            <rFont val="Carlito"/>
          </rPr>
          <t>Temporary implementation assumption. Accepted annual forecast input or calculation. See source register.</t>
        </r>
      </text>
    </comment>
    <comment ref="C219" authorId="0" shapeId="0" xr:uid="{00000000-0006-0000-0300-000017000000}">
      <text>
        <r>
          <rPr>
            <sz val="11"/>
            <rFont val="Carlito"/>
          </rPr>
          <t>Temporary implementation assumption. Accepted annual forecast input or calculation. See source register.</t>
        </r>
      </text>
    </comment>
    <comment ref="C220" authorId="0" shapeId="0" xr:uid="{00000000-0006-0000-0300-000033000000}">
      <text>
        <r>
          <rPr>
            <sz val="11"/>
            <rFont val="Carlito"/>
          </rPr>
          <t>Temporary implementation assumption. Accepted annual forecast input or calculation. See source register.</t>
        </r>
      </text>
    </comment>
    <comment ref="C221" authorId="0" shapeId="0" xr:uid="{00000000-0006-0000-0300-000051000000}">
      <text>
        <r>
          <rPr>
            <sz val="11"/>
            <rFont val="Carlito"/>
          </rPr>
          <t>Zero-event assumption. Accepted annual forecast input or calculation. See source register.</t>
        </r>
      </text>
    </comment>
    <comment ref="C222" authorId="0" shapeId="0" xr:uid="{00000000-0006-0000-0300-000052000000}">
      <text>
        <r>
          <rPr>
            <sz val="11"/>
            <rFont val="Carlito"/>
          </rPr>
          <t>Zero-event assumption. Accepted annual forecast input or calculation. See source register.</t>
        </r>
      </text>
    </comment>
    <comment ref="C223" authorId="0" shapeId="0" xr:uid="{00000000-0006-0000-0300-000053000000}">
      <text>
        <r>
          <rPr>
            <sz val="11"/>
            <rFont val="Carlito"/>
          </rPr>
          <t>Zero-event assumption. Accepted annual forecast input or calculation. See source register.</t>
        </r>
      </text>
    </comment>
    <comment ref="C224" authorId="0" shapeId="0" xr:uid="{00000000-0006-0000-0300-000054000000}">
      <text>
        <r>
          <rPr>
            <sz val="11"/>
            <rFont val="Carlito"/>
          </rPr>
          <t>Zero-event assumption. Accepted annual forecast input or calculation. See source register.</t>
        </r>
      </text>
    </comment>
    <comment ref="C225" authorId="0" shapeId="0" xr:uid="{00000000-0006-0000-0300-000056000000}">
      <text>
        <r>
          <rPr>
            <sz val="11"/>
            <rFont val="Carlito"/>
          </rPr>
          <t>Calculated output. Accepted annual forecast input or calculation. See source register.</t>
        </r>
      </text>
    </comment>
    <comment ref="C301" authorId="0" shapeId="0" xr:uid="{00000000-0006-0000-0300-00001A000000}">
      <text>
        <r>
          <rPr>
            <sz val="11"/>
            <rFont val="Carlito"/>
          </rPr>
          <t>Calculated output. Accepted annual forecast input or calculation. See source register.</t>
        </r>
      </text>
    </comment>
    <comment ref="C302" authorId="0" shapeId="0" xr:uid="{00000000-0006-0000-0300-00001F000000}">
      <text>
        <r>
          <rPr>
            <sz val="11"/>
            <rFont val="Carlito"/>
          </rPr>
          <t>Calculated output. Accepted annual forecast input or calculation. See source register.</t>
        </r>
      </text>
    </comment>
    <comment ref="C303" authorId="0" shapeId="0" xr:uid="{00000000-0006-0000-0300-000041000000}">
      <text>
        <r>
          <rPr>
            <sz val="11"/>
            <rFont val="Carlito"/>
          </rPr>
          <t>Calculated output. Accepted annual forecast input or calculation. See source register.</t>
        </r>
      </text>
    </comment>
    <comment ref="C304" authorId="0" shapeId="0" xr:uid="{00000000-0006-0000-0300-00004D000000}">
      <text>
        <r>
          <rPr>
            <sz val="11"/>
            <rFont val="Carlito"/>
          </rPr>
          <t>Zero-event assumption. Accepted annual forecast input or calculation. See source register.</t>
        </r>
      </text>
    </comment>
    <comment ref="C305" authorId="0" shapeId="0" xr:uid="{00000000-0006-0000-0300-00004E000000}">
      <text>
        <r>
          <rPr>
            <sz val="11"/>
            <rFont val="Carlito"/>
          </rPr>
          <t>Zero-event assumption. Accepted annual forecast input or calculation. See source register.</t>
        </r>
      </text>
    </comment>
    <comment ref="C306" authorId="0" shapeId="0" xr:uid="{00000000-0006-0000-0300-000055000000}">
      <text>
        <r>
          <rPr>
            <sz val="11"/>
            <rFont val="Carlito"/>
          </rPr>
          <t>Zero-event assumption. Accepted annual forecast input or calculation. See source register.</t>
        </r>
      </text>
    </comment>
    <comment ref="C307" authorId="0" shapeId="0" xr:uid="{00000000-0006-0000-0300-000057000000}">
      <text>
        <r>
          <rPr>
            <sz val="11"/>
            <rFont val="Carlito"/>
          </rPr>
          <t>Calculated output. Accepted annual forecast input or calculation. See source register.</t>
        </r>
      </text>
    </comment>
    <comment ref="C308" authorId="0" shapeId="0" xr:uid="{00000000-0006-0000-0300-000058000000}">
      <text>
        <r>
          <rPr>
            <sz val="11"/>
            <rFont val="Carlito"/>
          </rPr>
          <t>Calculated output. Accepted annual forecast input or calculation. See source register.</t>
        </r>
      </text>
    </comment>
    <comment ref="C337" authorId="0" shapeId="0" xr:uid="{00000000-0006-0000-0300-000027000000}">
      <text>
        <r>
          <rPr>
            <sz val="11"/>
            <rFont val="Carlito"/>
          </rPr>
          <t>Calculated output. Accepted annual forecast input or calculation. See source register.</t>
        </r>
      </text>
    </comment>
    <comment ref="C338" authorId="0" shapeId="0" xr:uid="{00000000-0006-0000-0300-00003B000000}">
      <text>
        <r>
          <rPr>
            <sz val="11"/>
            <rFont val="Carlito"/>
          </rPr>
          <t>Supporting schedule input. Accepted annual forecast input or calculation. See source register.</t>
        </r>
      </text>
    </comment>
    <comment ref="C339" authorId="0" shapeId="0" xr:uid="{00000000-0006-0000-0300-00003C000000}">
      <text>
        <r>
          <rPr>
            <sz val="11"/>
            <rFont val="Carlito"/>
          </rPr>
          <t>Calculated output. Accepted annual forecast input or calculation. See source register.</t>
        </r>
      </text>
    </comment>
    <comment ref="C340" authorId="0" shapeId="0" xr:uid="{00000000-0006-0000-0300-00003D000000}">
      <text>
        <r>
          <rPr>
            <sz val="11"/>
            <rFont val="Carlito"/>
          </rPr>
          <t>Calculated output. Accepted annual forecast input or calculation. See source register.</t>
        </r>
      </text>
    </comment>
    <comment ref="C341" authorId="0" shapeId="0" xr:uid="{00000000-0006-0000-0300-000042000000}">
      <text>
        <r>
          <rPr>
            <sz val="11"/>
            <rFont val="Carlito"/>
          </rPr>
          <t>Zero-event assumption. Accepted annual forecast input or calculation. See source register.</t>
        </r>
      </text>
    </comment>
    <comment ref="C342" authorId="0" shapeId="0" xr:uid="{00000000-0006-0000-0300-000043000000}">
      <text>
        <r>
          <rPr>
            <sz val="11"/>
            <rFont val="Carlito"/>
          </rPr>
          <t>Zero-event assumption. Accepted annual forecast input or calculation. See source register.</t>
        </r>
      </text>
    </comment>
    <comment ref="C343" authorId="0" shapeId="0" xr:uid="{00000000-0006-0000-0300-000044000000}">
      <text>
        <r>
          <rPr>
            <sz val="11"/>
            <rFont val="Carlito"/>
          </rPr>
          <t>Zero-event assumption. Accepted annual forecast input or calculation. See source register.</t>
        </r>
      </text>
    </comment>
    <comment ref="C344" authorId="0" shapeId="0" xr:uid="{00000000-0006-0000-0300-000045000000}">
      <text>
        <r>
          <rPr>
            <sz val="11"/>
            <rFont val="Carlito"/>
          </rPr>
          <t>Zero-event assumption. Accepted annual forecast input or calculation. See source register.</t>
        </r>
      </text>
    </comment>
    <comment ref="C345" authorId="0" shapeId="0" xr:uid="{00000000-0006-0000-0300-000050000000}">
      <text>
        <r>
          <rPr>
            <sz val="11"/>
            <rFont val="Carlito"/>
          </rPr>
          <t>Zero-event assumption. Accepted annual forecast input or calculation. See source register.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K175" authorId="0" shapeId="0" xr:uid="{00000000-0006-0000-0400-000001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77" authorId="0" shapeId="0" xr:uid="{00000000-0006-0000-0400-000002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79" authorId="0" shapeId="0" xr:uid="{00000000-0006-0000-0400-000003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81" authorId="0" shapeId="0" xr:uid="{00000000-0006-0000-0400-000004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83" authorId="0" shapeId="0" xr:uid="{00000000-0006-0000-0400-000005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85" authorId="0" shapeId="0" xr:uid="{00000000-0006-0000-0400-000006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87" authorId="0" shapeId="0" xr:uid="{00000000-0006-0000-0400-000007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89" authorId="0" shapeId="0" xr:uid="{00000000-0006-0000-0400-000008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91" authorId="0" shapeId="0" xr:uid="{00000000-0006-0000-0400-000009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93" authorId="0" shapeId="0" xr:uid="{00000000-0006-0000-0400-00000A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95" authorId="0" shapeId="0" xr:uid="{00000000-0006-0000-0400-00000B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97" authorId="0" shapeId="0" xr:uid="{00000000-0006-0000-0400-00000C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199" authorId="0" shapeId="0" xr:uid="{00000000-0006-0000-0400-00000D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01" authorId="0" shapeId="0" xr:uid="{00000000-0006-0000-0400-00000E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03" authorId="0" shapeId="0" xr:uid="{00000000-0006-0000-0400-00000F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05" authorId="0" shapeId="0" xr:uid="{00000000-0006-0000-0400-000010000000}">
      <text>
        <r>
          <rPr>
            <sz val="11"/>
            <color rgb="FF000000"/>
            <rFont val="Carlito"/>
          </rPr>
          <t xml:space="preserve">https://www.nextplc.co.uk/~/media/Files/N/Next-PLC-V2/documents/2024/annual-report-and-accounts-jan-2024.pdf
</t>
        </r>
        <r>
          <rPr>
            <sz val="11"/>
            <color rgb="FF000000"/>
            <rFont val="Carlito"/>
          </rPr>
          <t xml:space="preserve">https://www.nextplc.co.uk/~/media/Files/N/next-plc-v4/about-next/annual-report-and-accounts-jan-2025.pdf
</t>
        </r>
        <r>
          <rPr>
            <sz val="11"/>
            <color rgb="FF000000"/>
            <rFont val="Carlito"/>
          </rPr>
          <t>https://www.nextplc.co.uk/~/media/Files/N/next-plc-v4/about-next/annual-report-and-accounts-jan-2026.pdf</t>
        </r>
      </text>
    </comment>
    <comment ref="K207" authorId="0" shapeId="0" xr:uid="{00000000-0006-0000-0400-000011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09" authorId="0" shapeId="0" xr:uid="{00000000-0006-0000-0400-000012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11" authorId="0" shapeId="0" xr:uid="{00000000-0006-0000-0400-000013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13" authorId="0" shapeId="0" xr:uid="{00000000-0006-0000-0400-000014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15" authorId="0" shapeId="0" xr:uid="{00000000-0006-0000-0400-000015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17" authorId="0" shapeId="0" xr:uid="{00000000-0006-0000-0400-000016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19" authorId="0" shapeId="0" xr:uid="{00000000-0006-0000-0400-000017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21" authorId="0" shapeId="0" xr:uid="{00000000-0006-0000-0400-000018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23" authorId="0" shapeId="0" xr:uid="{00000000-0006-0000-0400-000019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25" authorId="0" shapeId="0" xr:uid="{00000000-0006-0000-0400-00001A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27" authorId="0" shapeId="0" xr:uid="{00000000-0006-0000-0400-00001B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29" authorId="0" shapeId="0" xr:uid="{00000000-0006-0000-0400-00001C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31" authorId="0" shapeId="0" xr:uid="{00000000-0006-0000-0400-00001D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33" authorId="0" shapeId="0" xr:uid="{00000000-0006-0000-0400-00001E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35" authorId="0" shapeId="0" xr:uid="{00000000-0006-0000-0400-00001F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37" authorId="0" shapeId="0" xr:uid="{00000000-0006-0000-0400-000020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39" authorId="0" shapeId="0" xr:uid="{00000000-0006-0000-0400-000021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41" authorId="0" shapeId="0" xr:uid="{00000000-0006-0000-0400-000022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43" authorId="0" shapeId="0" xr:uid="{00000000-0006-0000-0400-000023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45" authorId="0" shapeId="0" xr:uid="{00000000-0006-0000-0400-000024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47" authorId="0" shapeId="0" xr:uid="{00000000-0006-0000-0400-000025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49" authorId="0" shapeId="0" xr:uid="{00000000-0006-0000-0400-000026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51" authorId="0" shapeId="0" xr:uid="{00000000-0006-0000-0400-000027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53" authorId="0" shapeId="0" xr:uid="{00000000-0006-0000-0400-000028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55" authorId="0" shapeId="0" xr:uid="{00000000-0006-0000-0400-000029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57" authorId="0" shapeId="0" xr:uid="{00000000-0006-0000-0400-00002A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59" authorId="0" shapeId="0" xr:uid="{00000000-0006-0000-0400-00002B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61" authorId="0" shapeId="0" xr:uid="{00000000-0006-0000-0400-00002C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63" authorId="0" shapeId="0" xr:uid="{00000000-0006-0000-0400-00002D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65" authorId="0" shapeId="0" xr:uid="{00000000-0006-0000-0400-00002E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67" authorId="0" shapeId="0" xr:uid="{00000000-0006-0000-0400-00002F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69" authorId="0" shapeId="0" xr:uid="{00000000-0006-0000-0400-000030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71" authorId="0" shapeId="0" xr:uid="{00000000-0006-0000-0400-000031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73" authorId="0" shapeId="0" xr:uid="{00000000-0006-0000-0400-000032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75" authorId="0" shapeId="0" xr:uid="{00000000-0006-0000-0400-000033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77" authorId="0" shapeId="0" xr:uid="{00000000-0006-0000-0400-000034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79" authorId="0" shapeId="0" xr:uid="{00000000-0006-0000-0400-000035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81" authorId="0" shapeId="0" xr:uid="{00000000-0006-0000-0400-000036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83" authorId="0" shapeId="0" xr:uid="{00000000-0006-0000-0400-000037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85" authorId="0" shapeId="0" xr:uid="{00000000-0006-0000-0400-000038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87" authorId="0" shapeId="0" xr:uid="{00000000-0006-0000-0400-000039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89" authorId="0" shapeId="0" xr:uid="{00000000-0006-0000-0400-00003A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91" authorId="0" shapeId="0" xr:uid="{00000000-0006-0000-0400-00003B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93" authorId="0" shapeId="0" xr:uid="{00000000-0006-0000-0400-00003C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95" authorId="0" shapeId="0" xr:uid="{00000000-0006-0000-0400-00003D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97" authorId="0" shapeId="0" xr:uid="{00000000-0006-0000-0400-00003E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299" authorId="0" shapeId="0" xr:uid="{00000000-0006-0000-0400-00003F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01" authorId="0" shapeId="0" xr:uid="{00000000-0006-0000-0400-000040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03" authorId="0" shapeId="0" xr:uid="{00000000-0006-0000-0400-000041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05" authorId="0" shapeId="0" xr:uid="{00000000-0006-0000-0400-000042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07" authorId="0" shapeId="0" xr:uid="{00000000-0006-0000-0400-000043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09" authorId="0" shapeId="0" xr:uid="{00000000-0006-0000-0400-000044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11" authorId="0" shapeId="0" xr:uid="{00000000-0006-0000-0400-000045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13" authorId="0" shapeId="0" xr:uid="{00000000-0006-0000-0400-000046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15" authorId="0" shapeId="0" xr:uid="{00000000-0006-0000-0400-000047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17" authorId="0" shapeId="0" xr:uid="{00000000-0006-0000-0400-000048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19" authorId="0" shapeId="0" xr:uid="{00000000-0006-0000-0400-000049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21" authorId="0" shapeId="0" xr:uid="{00000000-0006-0000-0400-00004A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23" authorId="0" shapeId="0" xr:uid="{00000000-0006-0000-0400-00004B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25" authorId="0" shapeId="0" xr:uid="{00000000-0006-0000-0400-00004C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27" authorId="0" shapeId="0" xr:uid="{00000000-0006-0000-0400-00004D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29" authorId="0" shapeId="0" xr:uid="{00000000-0006-0000-0400-00004E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31" authorId="0" shapeId="0" xr:uid="{00000000-0006-0000-0400-00004F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33" authorId="0" shapeId="0" xr:uid="{00000000-0006-0000-0400-000050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35" authorId="0" shapeId="0" xr:uid="{00000000-0006-0000-0400-000051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37" authorId="0" shapeId="0" xr:uid="{00000000-0006-0000-0400-000052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39" authorId="0" shapeId="0" xr:uid="{00000000-0006-0000-0400-000053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41" authorId="0" shapeId="0" xr:uid="{00000000-0006-0000-0400-000054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43" authorId="0" shapeId="0" xr:uid="{00000000-0006-0000-0400-000055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45" authorId="0" shapeId="0" xr:uid="{00000000-0006-0000-0400-000056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47" authorId="0" shapeId="0" xr:uid="{00000000-0006-0000-0400-000057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49" authorId="0" shapeId="0" xr:uid="{00000000-0006-0000-0400-000058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51" authorId="0" shapeId="0" xr:uid="{00000000-0006-0000-0400-000059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53" authorId="0" shapeId="0" xr:uid="{00000000-0006-0000-0400-00005A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55" authorId="0" shapeId="0" xr:uid="{00000000-0006-0000-0400-00005B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57" authorId="0" shapeId="0" xr:uid="{00000000-0006-0000-0400-00005C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59" authorId="0" shapeId="0" xr:uid="{00000000-0006-0000-0400-00005D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61" authorId="0" shapeId="0" xr:uid="{00000000-0006-0000-0400-00005E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63" authorId="0" shapeId="0" xr:uid="{00000000-0006-0000-0400-00005F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65" authorId="0" shapeId="0" xr:uid="{00000000-0006-0000-0400-000060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67" authorId="0" shapeId="0" xr:uid="{00000000-0006-0000-0400-000061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69" authorId="0" shapeId="0" xr:uid="{00000000-0006-0000-0400-000062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71" authorId="0" shapeId="0" xr:uid="{00000000-0006-0000-0400-000063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73" authorId="0" shapeId="0" xr:uid="{00000000-0006-0000-0400-000064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75" authorId="0" shapeId="0" xr:uid="{00000000-0006-0000-0400-000065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77" authorId="0" shapeId="0" xr:uid="{00000000-0006-0000-0400-000066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79" authorId="0" shapeId="0" xr:uid="{00000000-0006-0000-0400-000067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81" authorId="0" shapeId="0" xr:uid="{00000000-0006-0000-0400-000068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83" authorId="0" shapeId="0" xr:uid="{00000000-0006-0000-0400-000069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85" authorId="0" shapeId="0" xr:uid="{00000000-0006-0000-0400-00006A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87" authorId="0" shapeId="0" xr:uid="{00000000-0006-0000-0400-00006B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89" authorId="0" shapeId="0" xr:uid="{00000000-0006-0000-0400-00006C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91" authorId="0" shapeId="0" xr:uid="{00000000-0006-0000-0400-00006D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93" authorId="0" shapeId="0" xr:uid="{00000000-0006-0000-0400-00006E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95" authorId="0" shapeId="0" xr:uid="{00000000-0006-0000-0400-00006F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97" authorId="0" shapeId="0" xr:uid="{00000000-0006-0000-0400-000070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399" authorId="0" shapeId="0" xr:uid="{00000000-0006-0000-0400-000071000000}">
      <text>
        <r>
          <rPr>
            <sz val="11"/>
            <rFont val="Carlito"/>
          </rPr>
          <t>https://www.nextplc.co.uk/~/media/Files/N/Next-PLC-V2/documents/2024/annual-report-and-accounts-jan-2024.pdf
https://www.nextplc.co.uk/~/media/Files/N/next-plc-v4/about-next/annual-report-and-accounts-jan-2025.pdf
https://www.nextplc.co.uk/~/media/Files/N/next-plc-v4/about-next/annual-report-and-accounts-jan-2026.pdf</t>
        </r>
      </text>
    </comment>
    <comment ref="K543" authorId="0" shapeId="0" xr:uid="{00000000-0006-0000-0400-000072000000}">
      <text>
        <r>
          <rPr>
            <sz val="11"/>
            <rFont val="Carlito"/>
          </rPr>
          <t>https://www.nextplc.co.uk/~/media/Files/N/next-plc-v4/about-next/annual-report-and-accounts-jan-2026.pdf</t>
        </r>
      </text>
    </comment>
    <comment ref="K545" authorId="0" shapeId="0" xr:uid="{00000000-0006-0000-0400-000073000000}">
      <text>
        <r>
          <rPr>
            <sz val="11"/>
            <rFont val="Carlito"/>
          </rPr>
          <t>https://www.nextplc.co.uk/~/media/Files/N/next-plc-v4/about-next/annual-report-and-accounts-jan-2026.pdf</t>
        </r>
      </text>
    </comment>
    <comment ref="K633" authorId="0" shapeId="0" xr:uid="{00000000-0006-0000-0400-000074000000}">
      <text>
        <r>
          <rPr>
            <sz val="11"/>
            <rFont val="Carlito"/>
          </rPr>
          <t>https://www.nextplc.co.uk/~/media/Files/N/next-plc-v4/about-next/annual-report-and-accounts-jan-2026.pdf</t>
        </r>
      </text>
    </comment>
    <comment ref="K635" authorId="0" shapeId="0" xr:uid="{00000000-0006-0000-0400-000075000000}">
      <text>
        <r>
          <rPr>
            <sz val="11"/>
            <rFont val="Carlito"/>
          </rPr>
          <t>https://www.nextplc.co.uk/~/media/Files/N/next-plc-v4/about-next/annual-report-and-accounts-jan-2026.pdf</t>
        </r>
      </text>
    </comment>
    <comment ref="K637" authorId="0" shapeId="0" xr:uid="{00000000-0006-0000-0400-000076000000}">
      <text>
        <r>
          <rPr>
            <sz val="11"/>
            <rFont val="Carlito"/>
          </rPr>
          <t>https://www.nextplc.co.uk/~/media/Files/N/next-plc-v4/about-next/annual-report-and-accounts-jan-2026.pdf</t>
        </r>
      </text>
    </comment>
    <comment ref="K639" authorId="0" shapeId="0" xr:uid="{00000000-0006-0000-0400-000077000000}">
      <text>
        <r>
          <rPr>
            <sz val="11"/>
            <rFont val="Carlito"/>
          </rPr>
          <t>https://www.nextplc.co.uk/~/media/Files/N/Next-PLC-V2/documents/2024/annual-report-and-accounts-jan-2024.pdf</t>
        </r>
      </text>
    </comment>
    <comment ref="K641" authorId="0" shapeId="0" xr:uid="{00000000-0006-0000-0400-000078000000}">
      <text>
        <r>
          <rPr>
            <sz val="11"/>
            <rFont val="Carlito"/>
          </rPr>
          <t>https://www.nextplc.co.uk/~/media/Files/N/next-plc-v4/about-next/annual-report-and-accounts-jan-2025.pdf</t>
        </r>
      </text>
    </comment>
    <comment ref="K643" authorId="0" shapeId="0" xr:uid="{00000000-0006-0000-0400-000079000000}">
      <text>
        <r>
          <rPr>
            <sz val="11"/>
            <rFont val="Carlito"/>
          </rPr>
          <t>https://www.nextplc.co.uk/~/media/Files/N/next-plc-v4/about-next/annual-report-and-accounts-jan-2026.pdf</t>
        </r>
      </text>
    </comment>
    <comment ref="K645" authorId="0" shapeId="0" xr:uid="{00000000-0006-0000-0400-00007A000000}">
      <text>
        <r>
          <rPr>
            <sz val="11"/>
            <rFont val="Carlito"/>
          </rPr>
          <t>https://www.nextplc.co.uk/~/media/Files/N/next-plc-v4/documents/2026/trading-statement-august-26.pdf</t>
        </r>
      </text>
    </comment>
    <comment ref="K647" authorId="0" shapeId="0" xr:uid="{00000000-0006-0000-0400-00007B000000}">
      <text>
        <r>
          <rPr>
            <sz val="11"/>
            <rFont val="Carlito"/>
          </rPr>
          <t>https://www.nextplc.co.uk/~/media/Files/N/Next-PLC-V2/documents/2024/annual-report-and-accounts-jan-2024.pdf</t>
        </r>
      </text>
    </comment>
    <comment ref="K649" authorId="0" shapeId="0" xr:uid="{00000000-0006-0000-0400-00007C000000}">
      <text>
        <r>
          <rPr>
            <sz val="11"/>
            <rFont val="Carlito"/>
          </rPr>
          <t>https://www.nextplc.co.uk/~/media/Files/N/next-plc-v4/about-next/annual-report-and-accounts-jan-2026.pdf</t>
        </r>
      </text>
    </comment>
    <comment ref="K651" authorId="0" shapeId="0" xr:uid="{00000000-0006-0000-0400-00007D000000}">
      <text>
        <r>
          <rPr>
            <sz val="11"/>
            <rFont val="Carlito"/>
          </rPr>
          <t>https://www.nextplc.co.uk/~/media/Files/N/next-plc-v4/about-next/annual-report-and-accounts-jan-2026.pdf</t>
        </r>
      </text>
    </comment>
    <comment ref="K653" authorId="0" shapeId="0" xr:uid="{00000000-0006-0000-0400-00007E000000}">
      <text>
        <r>
          <rPr>
            <sz val="11"/>
            <rFont val="Carlito"/>
          </rPr>
          <t>https://www.nextplc.co.uk/~/media/Files/N/Next-PLC-V2/documents/2024/annual-report-and-accounts-jan-2024.pdf</t>
        </r>
      </text>
    </comment>
    <comment ref="K655" authorId="0" shapeId="0" xr:uid="{00000000-0006-0000-0400-00007F000000}">
      <text>
        <r>
          <rPr>
            <sz val="11"/>
            <rFont val="Carlito"/>
          </rPr>
          <t>https://www.nextplc.co.uk/~/media/Files/N/next-plc-v4/about-next/annual-report-and-accounts-jan-2026.pdf</t>
        </r>
      </text>
    </comment>
    <comment ref="K657" authorId="0" shapeId="0" xr:uid="{00000000-0006-0000-0400-000080000000}">
      <text>
        <r>
          <rPr>
            <sz val="11"/>
            <rFont val="Carlito"/>
          </rPr>
          <t>https://www.nextplc.co.uk/~/media/Files/N/Next-PLC-V2/documents/2024/annual-report-and-accounts-jan-2024.pdf</t>
        </r>
      </text>
    </comment>
    <comment ref="K659" authorId="0" shapeId="0" xr:uid="{00000000-0006-0000-0400-000081000000}">
      <text>
        <r>
          <rPr>
            <sz val="11"/>
            <rFont val="Carlito"/>
          </rPr>
          <t>https://www.nextplc.co.uk/~/media/Files/N/next-plc-v4/about-next/annual-report-and-accounts-jan-2026.pdf</t>
        </r>
      </text>
    </comment>
    <comment ref="K661" authorId="0" shapeId="0" xr:uid="{00000000-0006-0000-0400-000082000000}">
      <text>
        <r>
          <rPr>
            <sz val="11"/>
            <rFont val="Carlito"/>
          </rPr>
          <t>https://www.nextplc.co.uk/~/media/Files/N/Next-PLC-V2/documents/2024/annual-report-and-accounts-jan-2024.pdf</t>
        </r>
      </text>
    </comment>
    <comment ref="K663" authorId="0" shapeId="0" xr:uid="{00000000-0006-0000-0400-000083000000}">
      <text>
        <r>
          <rPr>
            <sz val="11"/>
            <rFont val="Carlito"/>
          </rPr>
          <t>https://www.nextplc.co.uk/~/media/Files/N/next-plc-v4/about-next/annual-report-and-accounts-jan-2025.pdf</t>
        </r>
      </text>
    </comment>
    <comment ref="K665" authorId="0" shapeId="0" xr:uid="{00000000-0006-0000-0400-000084000000}">
      <text>
        <r>
          <rPr>
            <sz val="11"/>
            <rFont val="Carlito"/>
          </rPr>
          <t>https://www.nextplc.co.uk/~/media/Files/N/next-plc-v4/about-next/annual-report-and-accounts-jan-2026.pdf</t>
        </r>
      </text>
    </comment>
    <comment ref="K667" authorId="0" shapeId="0" xr:uid="{00000000-0006-0000-0400-000085000000}">
      <text>
        <r>
          <rPr>
            <sz val="11"/>
            <rFont val="Carlito"/>
          </rPr>
          <t>https://www.nextplc.co.uk/~/media/Files/N/Next-PLC-V2/documents/2024/annual-report-and-accounts-jan-2024.pdf</t>
        </r>
      </text>
    </comment>
    <comment ref="K669" authorId="0" shapeId="0" xr:uid="{00000000-0006-0000-0400-000086000000}">
      <text>
        <r>
          <rPr>
            <sz val="11"/>
            <rFont val="Carlito"/>
          </rPr>
          <t>https://www.nextplc.co.uk/~/media/Files/N/next-plc-v4/about-next/annual-report-and-accounts-jan-2025.pdf</t>
        </r>
      </text>
    </comment>
    <comment ref="K671" authorId="0" shapeId="0" xr:uid="{00000000-0006-0000-0400-000087000000}">
      <text>
        <r>
          <rPr>
            <sz val="11"/>
            <rFont val="Carlito"/>
          </rPr>
          <t>https://www.nextplc.co.uk/~/media/Files/N/next-plc-v4/about-next/annual-report-and-accounts-jan-2026.pdf</t>
        </r>
      </text>
    </comment>
    <comment ref="K673" authorId="0" shapeId="0" xr:uid="{00000000-0006-0000-0400-000088000000}">
      <text>
        <r>
          <rPr>
            <sz val="11"/>
            <rFont val="Carlito"/>
          </rPr>
          <t>https://www.nextplc.co.uk/~/media/Files/N/Next-PLC-V2/documents/2024/annual-report-and-accounts-jan-2024.pdf</t>
        </r>
      </text>
    </comment>
    <comment ref="K675" authorId="0" shapeId="0" xr:uid="{00000000-0006-0000-0400-000089000000}">
      <text>
        <r>
          <rPr>
            <sz val="11"/>
            <rFont val="Carlito"/>
          </rPr>
          <t>https://www.nextplc.co.uk/~/media/Files/N/next-plc-v4/documents/2024/year-end-results-january2025.pdf</t>
        </r>
      </text>
    </comment>
    <comment ref="K677" authorId="0" shapeId="0" xr:uid="{00000000-0006-0000-0400-00008A000000}">
      <text>
        <r>
          <rPr>
            <sz val="11"/>
            <rFont val="Carlito"/>
          </rPr>
          <t>https://www.nextplc.co.uk/~/media/Files/N/next-plc-v4/documents/2026/year-end-results-january2026.pdf</t>
        </r>
      </text>
    </comment>
    <comment ref="K679" authorId="0" shapeId="0" xr:uid="{00000000-0006-0000-0400-00008B000000}">
      <text>
        <r>
          <rPr>
            <sz val="11"/>
            <rFont val="Carlito"/>
          </rPr>
          <t>https://www.nextplc.co.uk/~/media/Files/N/Next-PLC-V2/documents/2024/annual-report-and-accounts-jan-2024.pdf</t>
        </r>
      </text>
    </comment>
    <comment ref="K681" authorId="0" shapeId="0" xr:uid="{00000000-0006-0000-0400-00008C000000}">
      <text>
        <r>
          <rPr>
            <sz val="11"/>
            <rFont val="Carlito"/>
          </rPr>
          <t>https://www.nextplc.co.uk/~/media/Files/N/next-plc-v4/about-next/annual-report-and-accounts-jan-2025.pdf</t>
        </r>
      </text>
    </comment>
    <comment ref="K683" authorId="0" shapeId="0" xr:uid="{00000000-0006-0000-0400-00008D000000}">
      <text>
        <r>
          <rPr>
            <sz val="11"/>
            <rFont val="Carlito"/>
          </rPr>
          <t>https://www.nextplc.co.uk/~/media/Files/N/next-plc-v4/about-next/annual-report-and-accounts-jan-2026.pdf</t>
        </r>
      </text>
    </comment>
    <comment ref="K685" authorId="0" shapeId="0" xr:uid="{00000000-0006-0000-0400-00008E000000}">
      <text>
        <r>
          <rPr>
            <sz val="11"/>
            <rFont val="Carlito"/>
          </rPr>
          <t>https://www.nextplc.co.uk/~/media/Files/N/Next-PLC-V2/documents/2024/annual-report-and-accounts-jan-2024.pdf</t>
        </r>
      </text>
    </comment>
    <comment ref="K687" authorId="0" shapeId="0" xr:uid="{00000000-0006-0000-0400-00008F000000}">
      <text>
        <r>
          <rPr>
            <sz val="11"/>
            <rFont val="Carlito"/>
          </rPr>
          <t>https://www.nextplc.co.uk/~/media/Files/N/next-plc-v4/documents/2024/year-end-results-january2025.pdf</t>
        </r>
      </text>
    </comment>
    <comment ref="K689" authorId="0" shapeId="0" xr:uid="{00000000-0006-0000-0400-000090000000}">
      <text>
        <r>
          <rPr>
            <sz val="11"/>
            <rFont val="Carlito"/>
          </rPr>
          <t>https://www.nextplc.co.uk/~/media/Files/N/next-plc-v4/about-next/annual-report-and-accounts-jan-2026.pdf</t>
        </r>
      </text>
    </comment>
    <comment ref="K691" authorId="0" shapeId="0" xr:uid="{00000000-0006-0000-0400-000091000000}">
      <text>
        <r>
          <rPr>
            <sz val="11"/>
            <rFont val="Carlito"/>
          </rPr>
          <t>https://www.nextplc.co.uk/~/media/Files/N/Next-PLC-V2/documents/2024/annual-report-and-accounts-jan-2024.pdf</t>
        </r>
      </text>
    </comment>
    <comment ref="K693" authorId="0" shapeId="0" xr:uid="{00000000-0006-0000-0400-000092000000}">
      <text>
        <r>
          <rPr>
            <sz val="11"/>
            <rFont val="Carlito"/>
          </rPr>
          <t>https://www.nextplc.co.uk/~/media/Files/N/next-plc-v4/about-next/annual-report-and-accounts-jan-2025.pdf</t>
        </r>
      </text>
    </comment>
    <comment ref="K695" authorId="0" shapeId="0" xr:uid="{00000000-0006-0000-0400-000093000000}">
      <text>
        <r>
          <rPr>
            <sz val="11"/>
            <rFont val="Carlito"/>
          </rPr>
          <t>https://www.nextplc.co.uk/~/media/Files/N/next-plc-v4/about-next/annual-report-and-accounts-jan-2026.pdf</t>
        </r>
      </text>
    </comment>
    <comment ref="K697" authorId="0" shapeId="0" xr:uid="{00000000-0006-0000-0400-000094000000}">
      <text>
        <r>
          <rPr>
            <sz val="11"/>
            <rFont val="Carlito"/>
          </rPr>
          <t>https://www.nextplc.co.uk/investors/shareholder-information/debt-investor-information</t>
        </r>
      </text>
    </comment>
    <comment ref="K699" authorId="0" shapeId="0" xr:uid="{00000000-0006-0000-0400-000095000000}">
      <text>
        <r>
          <rPr>
            <sz val="11"/>
            <rFont val="Carlito"/>
          </rPr>
          <t>https://www.nextplc.co.uk/investors/reports-and-presentations/2026-27</t>
        </r>
      </text>
    </comment>
    <comment ref="K701" authorId="0" shapeId="0" xr:uid="{00000000-0006-0000-0400-000096000000}">
      <text>
        <r>
          <rPr>
            <sz val="11"/>
            <rFont val="Carlito"/>
          </rPr>
          <t>https://www.nextplc.co.uk/~/media/Files/N/next-plc-v4/about-next/annual-report-and-accounts-jan-2024.pdf</t>
        </r>
      </text>
    </comment>
    <comment ref="K703" authorId="0" shapeId="0" xr:uid="{00000000-0006-0000-0400-000097000000}">
      <text>
        <r>
          <rPr>
            <sz val="11"/>
            <rFont val="Carlito"/>
          </rPr>
          <t>https://www.nextplc.co.uk/~/media/Files/N/next-plc-v4/documents/2024/year-end-results-january2025.pdf</t>
        </r>
      </text>
    </comment>
    <comment ref="K705" authorId="0" shapeId="0" xr:uid="{00000000-0006-0000-0400-000098000000}">
      <text>
        <r>
          <rPr>
            <sz val="11"/>
            <rFont val="Carlito"/>
          </rPr>
          <t>https://www.nextplc.co.uk/~/media/Files/N/next-plc-v4/documents/2026/year-end-results-january2026.pdf</t>
        </r>
      </text>
    </comment>
    <comment ref="K707" authorId="0" shapeId="0" xr:uid="{00000000-0006-0000-0400-000099000000}">
      <text>
        <r>
          <rPr>
            <sz val="11"/>
            <rFont val="Carlito"/>
          </rPr>
          <t>https://www.nextplc.co.uk/~/media/Files/N/next-plc-v4/about-next/annual-report-and-accounts-jan-2026.pdf</t>
        </r>
      </text>
    </comment>
    <comment ref="K709" authorId="0" shapeId="0" xr:uid="{00000000-0006-0000-0400-00009A000000}">
      <text>
        <r>
          <rPr>
            <sz val="11"/>
            <rFont val="Carlito"/>
          </rPr>
          <t>https://www.nextplc.co.uk/~/media/Files/N/next-plc-v4/about-next/annual-report-and-accounts-jan-2026.pdf</t>
        </r>
      </text>
    </comment>
    <comment ref="K711" authorId="0" shapeId="0" xr:uid="{00000000-0006-0000-0400-00009B000000}">
      <text>
        <r>
          <rPr>
            <sz val="11"/>
            <rFont val="Carlito"/>
          </rPr>
          <t>https://www.nextplc.co.uk/investors/shareholder-information/debt-investor-information</t>
        </r>
      </text>
    </comment>
    <comment ref="K713" authorId="0" shapeId="0" xr:uid="{00000000-0006-0000-0400-00009C000000}">
      <text>
        <r>
          <rPr>
            <sz val="11"/>
            <rFont val="Carlito"/>
          </rPr>
          <t>https://www.nextplc.co.uk/~/media/Files/N/next-plc-v4/documents/2026/trading-statement-august-26.pdf</t>
        </r>
      </text>
    </comment>
    <comment ref="K715" authorId="0" shapeId="0" xr:uid="{00000000-0006-0000-0400-00009D000000}">
      <text>
        <r>
          <rPr>
            <sz val="11"/>
            <rFont val="Carlito"/>
          </rPr>
          <t>https://www.nextplc.co.uk/~/media/Files/N/next-plc-v4/about-next/annual-report-and-accounts-jan-2026.pdf</t>
        </r>
      </text>
    </comment>
  </commentList>
</comments>
</file>

<file path=xl/sharedStrings.xml><?xml version="1.0" encoding="utf-8"?>
<sst xmlns="http://schemas.openxmlformats.org/spreadsheetml/2006/main" count="3876" uniqueCount="1655">
  <si>
    <t>NEXT plc</t>
  </si>
  <si>
    <t>Three-statement financial model</t>
  </si>
  <si>
    <t>Author</t>
  </si>
  <si>
    <t>Obinna Okey-Udeji</t>
  </si>
  <si>
    <t>Model completed</t>
  </si>
  <si>
    <t>Financial information through</t>
  </si>
  <si>
    <t>Forecast period</t>
  </si>
  <si>
    <t>FY2027E–FY2031E</t>
  </si>
  <si>
    <t>Scenario</t>
  </si>
  <si>
    <t>Base Case</t>
  </si>
  <si>
    <t>Currency and units</t>
  </si>
  <si>
    <t>GBP, £m except where stated</t>
  </si>
  <si>
    <t>Version</t>
  </si>
  <si>
    <t>1.0 — public model</t>
  </si>
  <si>
    <t>Accounting checks</t>
  </si>
  <si>
    <t>Purpose: explain NEXT’s historical performance and a five-year base-case forecast through linked income, cash-flow and balance-sheet statements.</t>
  </si>
  <si>
    <t>Sources: January 2024–2026 annual reports and results, plus the 5 August 2026 Q2 trading statement. Later disclosures have not been incorporated.</t>
  </si>
  <si>
    <t>1. Review the key forecast drivers</t>
  </si>
  <si>
    <t>2. Read the three financial statements</t>
  </si>
  <si>
    <t>3. Trace the supporting schedules</t>
  </si>
  <si>
    <t>4. Review checks, assumptions and sources</t>
  </si>
  <si>
    <t>Update blue input cells, recalculate, then review the Audit status. Formulas use black text on the same sheet and green for links; outputs on this Cover are dark. Pale amber identifies editable forecast inputs.</t>
  </si>
  <si>
    <t>Financial development</t>
  </si>
  <si>
    <t>£m unless stated</t>
  </si>
  <si>
    <t>FY2023A</t>
  </si>
  <si>
    <t>FY2024A</t>
  </si>
  <si>
    <t>FY2025A</t>
  </si>
  <si>
    <t>FY2026A</t>
  </si>
  <si>
    <t>FY2027E</t>
  </si>
  <si>
    <t>FY2028E</t>
  </si>
  <si>
    <t>FY2029E</t>
  </si>
  <si>
    <t>FY2030E</t>
  </si>
  <si>
    <t>FY2031E</t>
  </si>
  <si>
    <t>Revenue</t>
  </si>
  <si>
    <t>Statutory revenue growth</t>
  </si>
  <si>
    <t>Operating margin</t>
  </si>
  <si>
    <t>PBT margin</t>
  </si>
  <si>
    <t>Profit before tax</t>
  </si>
  <si>
    <t>Total cash capex</t>
  </si>
  <si>
    <t>Free cash flow after capex, interest and leases</t>
  </si>
  <si>
    <t>Net debt excluding leases (cash equivalents)</t>
  </si>
  <si>
    <t>Ordinary dividends paid</t>
  </si>
  <si>
    <t>Non-ordinary shareholder returns</t>
  </si>
  <si>
    <t>Free cash flow here means operating cash after tax, cash capex, borrowing interest and lease payments. It excludes acquisitions and shareholder returns. Net debt excludes lease liabilities and uses cash equivalents.</t>
  </si>
  <si>
    <t>FY2027 reported revenue growth includes the effect of removing FY2026’s 53rd week; the forecast input is 7% growth on the comparable 52-week base.</t>
  </si>
  <si>
    <t>Period</t>
  </si>
  <si>
    <t>Interpretation: growth moderates while modest cost efficiencies and lower finance-cost intensity support margins. Cash generation and shareholder returns vary with average-balance working-capital formulas.</t>
  </si>
  <si>
    <t>Educational portfolio project by Obinna Okey-Udeji. Independently prepared and not affiliated with or endorsed by NEXT plc. This model is not investment advice.</t>
  </si>
  <si>
    <t>Version history: 1.0, 8 September 2026 — five-sheet public presentation, linked audit framework and archived detailed change history. Accepted statement forecasts retained.</t>
  </si>
  <si>
    <t>Model assumptions include refinancing, minimum cash, annual depreciation and lease inputs, fixed cash dividends and temporary minor-balance roll-forwards. Review the notes in Audit &amp; Sources before interpreting the forecast.</t>
  </si>
  <si>
    <t>Forecast assumptions</t>
  </si>
  <si>
    <t>Return to Cover</t>
  </si>
  <si>
    <t>£m except percentages, days and per-share data</t>
  </si>
  <si>
    <t>Operating performance</t>
  </si>
  <si>
    <t>Revenue growth</t>
  </si>
  <si>
    <t>A005</t>
  </si>
  <si>
    <t>Cost of sales / Revenue</t>
  </si>
  <si>
    <t>A006</t>
  </si>
  <si>
    <t>Distribution costs / Revenue</t>
  </si>
  <si>
    <t>A007</t>
  </si>
  <si>
    <t>Administrative expenses / Revenue</t>
  </si>
  <si>
    <t>A008</t>
  </si>
  <si>
    <t>Receivables impairment expense (£m)</t>
  </si>
  <si>
    <t>A085</t>
  </si>
  <si>
    <t>Share of associates and JVs (£m)</t>
  </si>
  <si>
    <t>A086</t>
  </si>
  <si>
    <t>Working capital and customer credit</t>
  </si>
  <si>
    <t>Inventory days</t>
  </si>
  <si>
    <t>A070</t>
  </si>
  <si>
    <t>Payables days</t>
  </si>
  <si>
    <t>A021</t>
  </si>
  <si>
    <t>Customer-credit-book growth</t>
  </si>
  <si>
    <t>n.a.</t>
  </si>
  <si>
    <t>A088</t>
  </si>
  <si>
    <t>Prepayments / Revenue</t>
  </si>
  <si>
    <t>A014</t>
  </si>
  <si>
    <t>Other creditors &amp; accruals / Revenue</t>
  </si>
  <si>
    <t>A023</t>
  </si>
  <si>
    <t>CapEx and investment</t>
  </si>
  <si>
    <t>Total cash capex (£m)</t>
  </si>
  <si>
    <t>A126</t>
  </si>
  <si>
    <t>Intangible additions (£m)</t>
  </si>
  <si>
    <t>A012</t>
  </si>
  <si>
    <t>Leases</t>
  </si>
  <si>
    <t>ROU new lease additions (£m)</t>
  </si>
  <si>
    <t>A062</t>
  </si>
  <si>
    <t>Lease payments (£m)</t>
  </si>
  <si>
    <t>A035</t>
  </si>
  <si>
    <t>Lease interest rate </t>
  </si>
  <si>
    <t>A029</t>
  </si>
  <si>
    <t>Financing and interest</t>
  </si>
  <si>
    <t>Minimum balance-sheet cash (£m)</t>
  </si>
  <si>
    <t>A090</t>
  </si>
  <si>
    <t>Bank loans &amp; overdrafts — closing balance (£m)</t>
  </si>
  <si>
    <t>A058</t>
  </si>
  <si>
    <t>bank / RCF / overdraft rate (%)</t>
  </si>
  <si>
    <t>A079</t>
  </si>
  <si>
    <t>Cash yield (%)</t>
  </si>
  <si>
    <t>A046</t>
  </si>
  <si>
    <t>Refinancing rate</t>
  </si>
  <si>
    <t>A093</t>
  </si>
  <si>
    <t>2028 bond refinancing proceeds (£m)</t>
  </si>
  <si>
    <t>A092</t>
  </si>
  <si>
    <t>RCF renewal / replacement assumed (1 = yes)</t>
  </si>
  <si>
    <t>A095</t>
  </si>
  <si>
    <t>Tax</t>
  </si>
  <si>
    <t>Tax rate</t>
  </si>
  <si>
    <t>A009</t>
  </si>
  <si>
    <t>Dividends, buybacks and capital allocation</t>
  </si>
  <si>
    <t>Economic dividend payout</t>
  </si>
  <si>
    <t>A089</t>
  </si>
  <si>
    <t>Cash dividends paid (£m)</t>
  </si>
  <si>
    <t>A087</t>
  </si>
  <si>
    <t>Average buyback price (£/share)</t>
  </si>
  <si>
    <t>A091</t>
  </si>
  <si>
    <t>NCI dividend payout</t>
  </si>
  <si>
    <t>A096</t>
  </si>
  <si>
    <t>ERR condition assumed satisfied (1 = yes)</t>
  </si>
  <si>
    <t>A121</t>
  </si>
  <si>
    <t>29 key drivers. Supporting inputs, calculated results and zero-event or temporary assumptions are located in the relevant section of 03 Schedules.</t>
  </si>
  <si>
    <t>Blue numbers are inputs. Green formulas link to another sheet. FY2028–FY2031 assumptions are independent model judgements unless a source explicitly identifies contractual terms or disclosed investment plans.</t>
  </si>
  <si>
    <t>Open supporting inputs and schedules</t>
  </si>
  <si>
    <t>Financial statements</t>
  </si>
  <si>
    <t>£m. Liabilities and cash outflows are negative.</t>
  </si>
  <si>
    <t>INCOME STATEMENT</t>
  </si>
  <si>
    <t>Earnings calculation</t>
  </si>
  <si>
    <t>H8</t>
  </si>
  <si>
    <t>H9</t>
  </si>
  <si>
    <t>Cost of sales</t>
  </si>
  <si>
    <t>H10</t>
  </si>
  <si>
    <t>Cost of sales as % of Revenue</t>
  </si>
  <si>
    <t>H11</t>
  </si>
  <si>
    <t>Impairment losses on customer and other receivables</t>
  </si>
  <si>
    <t>H12</t>
  </si>
  <si>
    <t>Gross profit</t>
  </si>
  <si>
    <t>H13</t>
  </si>
  <si>
    <t>Gross margin</t>
  </si>
  <si>
    <t>H14</t>
  </si>
  <si>
    <t>Distribution costs</t>
  </si>
  <si>
    <t>H15</t>
  </si>
  <si>
    <t>Distribution costs as % of Revenue</t>
  </si>
  <si>
    <t>H16</t>
  </si>
  <si>
    <t>Administrative expenses</t>
  </si>
  <si>
    <t>H17</t>
  </si>
  <si>
    <t>Administrative expenses as % of Revenue</t>
  </si>
  <si>
    <t>H18</t>
  </si>
  <si>
    <t>Other gains / (losses)</t>
  </si>
  <si>
    <t>H19</t>
  </si>
  <si>
    <t>Trading profit</t>
  </si>
  <si>
    <t>H20</t>
  </si>
  <si>
    <t>Share of results of associates and joint ventures</t>
  </si>
  <si>
    <t>H21</t>
  </si>
  <si>
    <t>Impairment in associates and joint ventures</t>
  </si>
  <si>
    <t>H22</t>
  </si>
  <si>
    <t>Exceptional items — curtailment loss</t>
  </si>
  <si>
    <t>H23</t>
  </si>
  <si>
    <t>Operating profit</t>
  </si>
  <si>
    <t>H24</t>
  </si>
  <si>
    <t>Gain on Reiss transaction — exceptional item</t>
  </si>
  <si>
    <t>H25</t>
  </si>
  <si>
    <t>Finance income</t>
  </si>
  <si>
    <t>H26</t>
  </si>
  <si>
    <t>Finance costs</t>
  </si>
  <si>
    <t>H27</t>
  </si>
  <si>
    <t>H28</t>
  </si>
  <si>
    <t>Taxation</t>
  </si>
  <si>
    <t>H29</t>
  </si>
  <si>
    <t>Net income</t>
  </si>
  <si>
    <t>H30</t>
  </si>
  <si>
    <t>BALANCE SHEET</t>
  </si>
  <si>
    <t>Supporting schedules</t>
  </si>
  <si>
    <t>ASSETS</t>
  </si>
  <si>
    <t>Non-current assets</t>
  </si>
  <si>
    <t>Property, plant and equipment</t>
  </si>
  <si>
    <t>H37</t>
  </si>
  <si>
    <t>Intangible assets</t>
  </si>
  <si>
    <t>H38</t>
  </si>
  <si>
    <t>Right-of-use assets</t>
  </si>
  <si>
    <t>H39</t>
  </si>
  <si>
    <t>Associates, joint ventures and other investments</t>
  </si>
  <si>
    <t>H40</t>
  </si>
  <si>
    <t>Defined benefit pension asset</t>
  </si>
  <si>
    <t>H41</t>
  </si>
  <si>
    <t>Other non-current assets (financial / deferred tax)</t>
  </si>
  <si>
    <t>H42</t>
  </si>
  <si>
    <t>Total non-current assets</t>
  </si>
  <si>
    <t>H43</t>
  </si>
  <si>
    <t>Current assets</t>
  </si>
  <si>
    <t>Inventories</t>
  </si>
  <si>
    <t>H46</t>
  </si>
  <si>
    <t>Customer and other receivables</t>
  </si>
  <si>
    <t>H47</t>
  </si>
  <si>
    <t>Right of return asset</t>
  </si>
  <si>
    <t>H48</t>
  </si>
  <si>
    <t>Other financial assets — current</t>
  </si>
  <si>
    <t>H49</t>
  </si>
  <si>
    <t>Current tax assets</t>
  </si>
  <si>
    <t>H50</t>
  </si>
  <si>
    <t>Cash and short-term deposits</t>
  </si>
  <si>
    <t>H51</t>
  </si>
  <si>
    <t>Total current assets</t>
  </si>
  <si>
    <t>H52</t>
  </si>
  <si>
    <t>TOTAL ASSETS</t>
  </si>
  <si>
    <t>H53</t>
  </si>
  <si>
    <t>LIABILITIES</t>
  </si>
  <si>
    <t>Current liabilities</t>
  </si>
  <si>
    <t>Bank loans and overdrafts</t>
  </si>
  <si>
    <t>H57</t>
  </si>
  <si>
    <t>Corporate bonds — current</t>
  </si>
  <si>
    <t>H58</t>
  </si>
  <si>
    <t>Trade payables and other payables</t>
  </si>
  <si>
    <t>H59</t>
  </si>
  <si>
    <t>Lease liabilities — current</t>
  </si>
  <si>
    <t>H60</t>
  </si>
  <si>
    <t>Other financial liabilities — current</t>
  </si>
  <si>
    <t>H61</t>
  </si>
  <si>
    <t>Current tax liabilities</t>
  </si>
  <si>
    <t>H62</t>
  </si>
  <si>
    <t>Total current liabilities</t>
  </si>
  <si>
    <t>H63</t>
  </si>
  <si>
    <t>Non-current liabilities</t>
  </si>
  <si>
    <t>Borrowings — non-current</t>
  </si>
  <si>
    <t>H66</t>
  </si>
  <si>
    <t>Provisions</t>
  </si>
  <si>
    <t>H67</t>
  </si>
  <si>
    <t>Lease liabilities — non-current</t>
  </si>
  <si>
    <t>H68</t>
  </si>
  <si>
    <t>Other financial liabilities — non-current</t>
  </si>
  <si>
    <t>H69</t>
  </si>
  <si>
    <t>Other payables — non-current</t>
  </si>
  <si>
    <t>H70</t>
  </si>
  <si>
    <t>Deferred tax liabilities</t>
  </si>
  <si>
    <t>H71</t>
  </si>
  <si>
    <t>Total non-current liabilities</t>
  </si>
  <si>
    <t>H72</t>
  </si>
  <si>
    <t>TOTAL LIABILITIES</t>
  </si>
  <si>
    <t>H73</t>
  </si>
  <si>
    <t>NET ASSETS</t>
  </si>
  <si>
    <t>H75</t>
  </si>
  <si>
    <t>EQUITY</t>
  </si>
  <si>
    <t>Share capital</t>
  </si>
  <si>
    <t>H78</t>
  </si>
  <si>
    <t>Share premium</t>
  </si>
  <si>
    <t>H79</t>
  </si>
  <si>
    <t>Capital redemption reserve</t>
  </si>
  <si>
    <t>H80</t>
  </si>
  <si>
    <t>ESOT reserve</t>
  </si>
  <si>
    <t>H81</t>
  </si>
  <si>
    <t>Cash flow hedge reserve</t>
  </si>
  <si>
    <t>H82</t>
  </si>
  <si>
    <t>Cost of hedging reserve</t>
  </si>
  <si>
    <t>H83</t>
  </si>
  <si>
    <t>Foreign currency translation reserve</t>
  </si>
  <si>
    <t>H84</t>
  </si>
  <si>
    <t>Other reserves</t>
  </si>
  <si>
    <t>H85</t>
  </si>
  <si>
    <t>Retained earnings</t>
  </si>
  <si>
    <t>H86</t>
  </si>
  <si>
    <t>Equity attributable to owners of parent</t>
  </si>
  <si>
    <t>H87</t>
  </si>
  <si>
    <t>Non-controlling interests</t>
  </si>
  <si>
    <t>H88</t>
  </si>
  <si>
    <t>TOTAL EQUITY</t>
  </si>
  <si>
    <t>H89</t>
  </si>
  <si>
    <t>Balance-sheet difference</t>
  </si>
  <si>
    <t>CASH-FLOW STATEMENT</t>
  </si>
  <si>
    <t>Operating cash build</t>
  </si>
  <si>
    <t>Fiscal year</t>
  </si>
  <si>
    <t>CASH FLOW FROM OPERATING ACTIVITIES</t>
  </si>
  <si>
    <t>Cash generated from operations</t>
  </si>
  <si>
    <t>H97</t>
  </si>
  <si>
    <t>Corporation taxes paid</t>
  </si>
  <si>
    <t>H98</t>
  </si>
  <si>
    <t>Net cash from operating activities</t>
  </si>
  <si>
    <t>H99</t>
  </si>
  <si>
    <t>CASH FLOW FROM INVESTING ACTIVITIES</t>
  </si>
  <si>
    <t>Payments to acquire property, plant and equipment</t>
  </si>
  <si>
    <t>H102</t>
  </si>
  <si>
    <t>Proceeds from sale of property, plant and equipment</t>
  </si>
  <si>
    <t>H103</t>
  </si>
  <si>
    <t>Proceeds from sale of held-for-sale assets</t>
  </si>
  <si>
    <t>H104</t>
  </si>
  <si>
    <t>Proceeds from sale and leaseback transactions</t>
  </si>
  <si>
    <t>H105</t>
  </si>
  <si>
    <t>Purchase of intangible assets</t>
  </si>
  <si>
    <t>H106</t>
  </si>
  <si>
    <t>Amounts (loaned to) / repaid by associates and JVs</t>
  </si>
  <si>
    <t>H107</t>
  </si>
  <si>
    <t>Investment in subsidiaries</t>
  </si>
  <si>
    <t>H108</t>
  </si>
  <si>
    <t>Investment in associates and joint ventures</t>
  </si>
  <si>
    <t>H109</t>
  </si>
  <si>
    <t>Other investing activities</t>
  </si>
  <si>
    <t>H110</t>
  </si>
  <si>
    <t>Net cash used in investing activities</t>
  </si>
  <si>
    <t>H111</t>
  </si>
  <si>
    <t>CASH FLOW FROM FINANCING ACTIVITIES</t>
  </si>
  <si>
    <t>Repurchase of own shares</t>
  </si>
  <si>
    <t>H114</t>
  </si>
  <si>
    <t>Purchase of shares by ESOT</t>
  </si>
  <si>
    <t>H115</t>
  </si>
  <si>
    <t>Disposal of shares by ESOT</t>
  </si>
  <si>
    <t>H116</t>
  </si>
  <si>
    <t>Purchase of equity from non-controlling interests</t>
  </si>
  <si>
    <t>H117</t>
  </si>
  <si>
    <t>Issue of shares in subsidiaries to NCI</t>
  </si>
  <si>
    <t>H118</t>
  </si>
  <si>
    <t>Repayment of loans</t>
  </si>
  <si>
    <t>H119</t>
  </si>
  <si>
    <t>Drawdown of revolving credit facility</t>
  </si>
  <si>
    <t>H120</t>
  </si>
  <si>
    <t>Lease incentives received</t>
  </si>
  <si>
    <t>H121</t>
  </si>
  <si>
    <t>Lease payments</t>
  </si>
  <si>
    <t>H122</t>
  </si>
  <si>
    <t>Interest paid (including lease interest)</t>
  </si>
  <si>
    <t>H123</t>
  </si>
  <si>
    <t>Interest received</t>
  </si>
  <si>
    <t>H124</t>
  </si>
  <si>
    <t>H125</t>
  </si>
  <si>
    <t>Repayment of corporate bonds</t>
  </si>
  <si>
    <t>H126</t>
  </si>
  <si>
    <t>Issue of corporate bonds</t>
  </si>
  <si>
    <t>H127</t>
  </si>
  <si>
    <t>Return of capital via B share scheme</t>
  </si>
  <si>
    <t>H128</t>
  </si>
  <si>
    <t>Dividends paid to owners of NEXT plc</t>
  </si>
  <si>
    <t>H129</t>
  </si>
  <si>
    <t>Dividends paid to non-controlling interests</t>
  </si>
  <si>
    <t>H130</t>
  </si>
  <si>
    <t>Net cash used in financing activities</t>
  </si>
  <si>
    <t>H131</t>
  </si>
  <si>
    <t>Net increase / (decrease) in cash and cash equivalents</t>
  </si>
  <si>
    <t>H133</t>
  </si>
  <si>
    <t>Opening cash and cash equivalents</t>
  </si>
  <si>
    <t>H134</t>
  </si>
  <si>
    <t>Exclude bank loans</t>
  </si>
  <si>
    <t>H135</t>
  </si>
  <si>
    <t>Effect of exchange rate fluctuations on cash held</t>
  </si>
  <si>
    <t>H136</t>
  </si>
  <si>
    <t>Closing cash and cash equivalents</t>
  </si>
  <si>
    <t>H137</t>
  </si>
  <si>
    <t>1. PP&amp;E and depreciation</t>
  </si>
  <si>
    <t>Next section</t>
  </si>
  <si>
    <t>PP&amp;E depreciation (£m)</t>
  </si>
  <si>
    <t>Supporting schedule input · A010</t>
  </si>
  <si>
    <t>PP&amp;E disposals/other movements (£m)</t>
  </si>
  <si>
    <t>Zero-event assumption · A011</t>
  </si>
  <si>
    <t>PP&amp;E additions / CapEx (£m)</t>
  </si>
  <si>
    <t>Key visible driver · A013</t>
  </si>
  <si>
    <t>PP&amp;E loss/(profit) on disposal (m)</t>
  </si>
  <si>
    <t>Zero-event assumption · A049</t>
  </si>
  <si>
    <t>PP&amp;E impairment charge (m)</t>
  </si>
  <si>
    <t>Zero-event assumption · A054</t>
  </si>
  <si>
    <t>PP&amp;E sale proceeds (£m)</t>
  </si>
  <si>
    <t>Zero-event assumption · A104</t>
  </si>
  <si>
    <t>Held-for-sale asset proceeds (£m)</t>
  </si>
  <si>
    <t>Zero-event assumption · A105</t>
  </si>
  <si>
    <t>Sale-and-leaseback proceeds (£m)</t>
  </si>
  <si>
    <t>Zero-event assumption · A106</t>
  </si>
  <si>
    <t>Opening PP&amp;E</t>
  </si>
  <si>
    <t>PP&amp;E additions / CapEx</t>
  </si>
  <si>
    <t>Depreciation</t>
  </si>
  <si>
    <t>Disposals / transfers / other</t>
  </si>
  <si>
    <t>Closing PP&amp;E</t>
  </si>
  <si>
    <t>2. Intangibles and investments</t>
  </si>
  <si>
    <t>Intangible amortisation (£m)</t>
  </si>
  <si>
    <t>Supporting schedule input · A015</t>
  </si>
  <si>
    <t>Intangible disposal P&amp;L adjustment (m)</t>
  </si>
  <si>
    <t>Zero-event assumption · A052</t>
  </si>
  <si>
    <t>Intangible impairment (m)</t>
  </si>
  <si>
    <t>Zero-event assumption · A053</t>
  </si>
  <si>
    <t>Intangible acquisitions / disposals / other (£m)</t>
  </si>
  <si>
    <t>Zero-event assumption · A061</t>
  </si>
  <si>
    <t>Associates/JVs — new investment / dividends / other (£m)</t>
  </si>
  <si>
    <t>Zero-event assumption · A067</t>
  </si>
  <si>
    <t>Loans to / from associates and JVs (£m)</t>
  </si>
  <si>
    <t>Zero-event assumption · A107</t>
  </si>
  <si>
    <t>Investment in subsidiaries (£m)</t>
  </si>
  <si>
    <t>Zero-event assumption · A108</t>
  </si>
  <si>
    <t>Investment in associates and JVs (£m)</t>
  </si>
  <si>
    <t>Zero-event assumption · A109</t>
  </si>
  <si>
    <t>Other investing activities (£m)</t>
  </si>
  <si>
    <t>Zero-event assumption · A110</t>
  </si>
  <si>
    <t>Amounts due from associates/JVs (m)</t>
  </si>
  <si>
    <t>Temporary assumption · A016</t>
  </si>
  <si>
    <t>Opening intangible assets</t>
  </si>
  <si>
    <t>Intangible additions</t>
  </si>
  <si>
    <t>Amortisation</t>
  </si>
  <si>
    <t>Acquisitions / disposals / other movements</t>
  </si>
  <si>
    <t>Closing intangible assets</t>
  </si>
  <si>
    <t>Opening associates/JVs &amp; other investments</t>
  </si>
  <si>
    <t>Share of results</t>
  </si>
  <si>
    <t>Impairment in associates/JVs</t>
  </si>
  <si>
    <t>New investment / dividends / other</t>
  </si>
  <si>
    <t>Closing associates/JVs &amp; other investments</t>
  </si>
  <si>
    <t>3. Right-of-use assets and lease liabilities</t>
  </si>
  <si>
    <t>Lease liabilities arising from acquisitions (£m)</t>
  </si>
  <si>
    <t>Zero-event assumption · A028</t>
  </si>
  <si>
    <t>Lease liability disposals (£m)</t>
  </si>
  <si>
    <t>Supporting schedule input · A030</t>
  </si>
  <si>
    <t>Lease liability FX effect (£m)</t>
  </si>
  <si>
    <t>Zero-event assumption · A031</t>
  </si>
  <si>
    <t>Current lease liability % of total</t>
  </si>
  <si>
    <t>Supporting schedule input · A032</t>
  </si>
  <si>
    <t>ROU modification/disposal P&amp;L adjustment (m)</t>
  </si>
  <si>
    <t>Zero-event assumption · A050</t>
  </si>
  <si>
    <t>ROU impairment/(reversal) (m)</t>
  </si>
  <si>
    <t>Zero-event assumption · A051</t>
  </si>
  <si>
    <t>ROU assets arising from acquisitions (£m)</t>
  </si>
  <si>
    <t>Zero-event assumption · A063</t>
  </si>
  <si>
    <t>ROU lease modifications / amendments (£m)</t>
  </si>
  <si>
    <t>Supporting schedule input · A064</t>
  </si>
  <si>
    <t>ROU depreciation (£m)</t>
  </si>
  <si>
    <t>Supporting schedule input · A065</t>
  </si>
  <si>
    <t>ROU disposals / impairment / other (£m)</t>
  </si>
  <si>
    <t>Supporting schedule input · A066</t>
  </si>
  <si>
    <t>Lease incentives received (£m)</t>
  </si>
  <si>
    <t>Zero-event assumption · A113</t>
  </si>
  <si>
    <t>Opening ROU assets</t>
  </si>
  <si>
    <t>New lease additions</t>
  </si>
  <si>
    <t>Arising from acquisitions</t>
  </si>
  <si>
    <t>Lease modifications / amendments</t>
  </si>
  <si>
    <t>ROU depreciation</t>
  </si>
  <si>
    <t>Disposals / impairment / other</t>
  </si>
  <si>
    <t>Closing ROU assets</t>
  </si>
  <si>
    <t>Opening lease liability</t>
  </si>
  <si>
    <t>Lease additions</t>
  </si>
  <si>
    <t>Lease interest</t>
  </si>
  <si>
    <t>Implied lease interest rate</t>
  </si>
  <si>
    <t>Disposals</t>
  </si>
  <si>
    <t>Foreign exchange movement</t>
  </si>
  <si>
    <t>Closing lease liability</t>
  </si>
  <si>
    <t>Current lease liability</t>
  </si>
  <si>
    <t>Non-current lease liability</t>
  </si>
  <si>
    <t>Current % of total</t>
  </si>
  <si>
    <t>Split check</t>
  </si>
  <si>
    <t>4. Inventory, receivables and payables</t>
  </si>
  <si>
    <t>Right of return asset (£m)</t>
  </si>
  <si>
    <t>Supporting schedule input · A017</t>
  </si>
  <si>
    <t>Other taxation &amp; social security (£m)</t>
  </si>
  <si>
    <t>Supporting schedule input · A022</t>
  </si>
  <si>
    <t>Share-based payment liability (£m)</t>
  </si>
  <si>
    <t>Temporary assumption · A024</t>
  </si>
  <si>
    <t>Deferred gift card revenue / Revenue</t>
  </si>
  <si>
    <t>Supporting schedule input · A025</t>
  </si>
  <si>
    <t>Refund liabilities / Revenue</t>
  </si>
  <si>
    <t>Supporting schedule input · A026</t>
  </si>
  <si>
    <t>Amounts owed to associates/JVs (£m)</t>
  </si>
  <si>
    <t>Temporary assumption · A027</t>
  </si>
  <si>
    <t>Other debtors (£m)</t>
  </si>
  <si>
    <t>Temporary assumption · A060</t>
  </si>
  <si>
    <t>Customer receivables — closing balance forecast (£m)</t>
  </si>
  <si>
    <t>Calculated output · A071</t>
  </si>
  <si>
    <t>Other trade receivables (£m)</t>
  </si>
  <si>
    <t>Supporting schedule input · A072</t>
  </si>
  <si>
    <t>Opening inventory</t>
  </si>
  <si>
    <t>Closing inventory</t>
  </si>
  <si>
    <t>Average inventory</t>
  </si>
  <si>
    <t>COGS</t>
  </si>
  <si>
    <t>Opening customer &amp; other receivables</t>
  </si>
  <si>
    <t>Customer receivables</t>
  </si>
  <si>
    <t>Other trade receivables</t>
  </si>
  <si>
    <t>Prepayments</t>
  </si>
  <si>
    <t>Other debtors</t>
  </si>
  <si>
    <t>Amounts due from associates/JVs</t>
  </si>
  <si>
    <t>Closing customer &amp; other receivables</t>
  </si>
  <si>
    <t>Average customer &amp; other receivables</t>
  </si>
  <si>
    <t>Receivables days / revenue days</t>
  </si>
  <si>
    <t>Trade payables</t>
  </si>
  <si>
    <t>Amounts owed to associates/JVs</t>
  </si>
  <si>
    <t>Refund liabilities</t>
  </si>
  <si>
    <t>Other taxation and social security</t>
  </si>
  <si>
    <t>Deferred revenue from gift cards</t>
  </si>
  <si>
    <t>Share-based payment liability</t>
  </si>
  <si>
    <t>Other creditors &amp; accruals</t>
  </si>
  <si>
    <t>Closing trade payables &amp; other payables</t>
  </si>
  <si>
    <t>Opening trade payables</t>
  </si>
  <si>
    <t>Closing trade payables</t>
  </si>
  <si>
    <t>Average trade payables</t>
  </si>
  <si>
    <t>Debt: May 2028 maturity falls in FY2029; July 2031 maturity is current at January 2031. Replacement rates and RCF renewal are independent assumptions.</t>
  </si>
  <si>
    <t>5. Debt, refinancing and interest</t>
  </si>
  <si>
    <t>Corporate bonds due within 12 months (£m)</t>
  </si>
  <si>
    <t>Calculated output · A019</t>
  </si>
  <si>
    <t>Borrowings — non-current (£m)</t>
  </si>
  <si>
    <t>Calculated output · A039</t>
  </si>
  <si>
    <t>Other interest receivable (£m)</t>
  </si>
  <si>
    <t>Supporting schedule input · A045</t>
  </si>
  <si>
    <t>Circularity switch (0 = opening / 1 = average)</t>
  </si>
  <si>
    <t>Zero-event assumption · A074</t>
  </si>
  <si>
    <t>2026 bond effective rate (%)</t>
  </si>
  <si>
    <t>Supporting schedule input · A075</t>
  </si>
  <si>
    <t>2026 bond year fraction</t>
  </si>
  <si>
    <t>Supporting schedule input · A076</t>
  </si>
  <si>
    <t>2028 bond coupon (%)</t>
  </si>
  <si>
    <t>Key visible driver · A077</t>
  </si>
  <si>
    <t>2031 bond coupon (%)</t>
  </si>
  <si>
    <t>Key visible driver · A078</t>
  </si>
  <si>
    <t>2028 bond pre-refinancing year fraction</t>
  </si>
  <si>
    <t>Key visible driver · A094</t>
  </si>
  <si>
    <t>Other finance cost (£m)</t>
  </si>
  <si>
    <t>Zero-event assumption · A097</t>
  </si>
  <si>
    <t>Cash classification bridge (£m)</t>
  </si>
  <si>
    <t>Calculated output · A098</t>
  </si>
  <si>
    <t>2028 bond opening balance (£m)</t>
  </si>
  <si>
    <t>Key visible driver · A124</t>
  </si>
  <si>
    <t>2031 bond opening balance (£m)</t>
  </si>
  <si>
    <t>Key visible driver · A125</t>
  </si>
  <si>
    <t>Total gross borrowings</t>
  </si>
  <si>
    <t>Cash and cash equivalents used for net debt</t>
  </si>
  <si>
    <t>Net debt excluding leases (cash-equivalents basis)</t>
  </si>
  <si>
    <t>Opening cash &amp; short-term deposits</t>
  </si>
  <si>
    <t>Closing cash &amp; short-term deposits</t>
  </si>
  <si>
    <t>Average cash</t>
  </si>
  <si>
    <t>Selected cash balance</t>
  </si>
  <si>
    <t>Cash yield / implied yield</t>
  </si>
  <si>
    <t>Interest on cash and bank deposits</t>
  </si>
  <si>
    <t>Other interest receivable</t>
  </si>
  <si>
    <t>Total finance income</t>
  </si>
  <si>
    <t>Interest on bonds and other borrowings</t>
  </si>
  <si>
    <t>Discount unwind / other finance cost</t>
  </si>
  <si>
    <t>Total finance costs</t>
  </si>
  <si>
    <t>Opening 2028 bond</t>
  </si>
  <si>
    <t>Repayment of 2028 bond</t>
  </si>
  <si>
    <t>Closing 2028 bond</t>
  </si>
  <si>
    <t>Opening refinanced debt</t>
  </si>
  <si>
    <t>Refinancing issuance</t>
  </si>
  <si>
    <t>Closing refinanced debt</t>
  </si>
  <si>
    <t>Opening 2031 bond</t>
  </si>
  <si>
    <t>2031 bond issuance</t>
  </si>
  <si>
    <t>2031 bond repayment</t>
  </si>
  <si>
    <t>Closing 2031 bond</t>
  </si>
  <si>
    <t>Bank loans and RCF closing balance</t>
  </si>
  <si>
    <t>Total gross debt</t>
  </si>
  <si>
    <t>RCF renewal / replacement assumed</t>
  </si>
  <si>
    <t>Corporate bonds — non-current</t>
  </si>
  <si>
    <t>Gross debt cash roll-forward</t>
  </si>
  <si>
    <t>Opening gross debt</t>
  </si>
  <si>
    <t>Bond issuance</t>
  </si>
  <si>
    <t>Bond repayment</t>
  </si>
  <si>
    <t>Bank/RCF net cash draw</t>
  </si>
  <si>
    <t>Closing gross debt</t>
  </si>
  <si>
    <t>RCF committed facility (£m)</t>
  </si>
  <si>
    <t>RCF availability assumption</t>
  </si>
  <si>
    <t>6. Retained earnings, equity and NCI</t>
  </si>
  <si>
    <t>ordinary shares cancelled (m)</t>
  </si>
  <si>
    <t>Calculated output · A040</t>
  </si>
  <si>
    <t>ESOT shares issued — retained earnings impact (£m)</t>
  </si>
  <si>
    <t>Supporting schedule input · A042</t>
  </si>
  <si>
    <t>Share option charge (£m)</t>
  </si>
  <si>
    <t>Supporting schedule input · A043</t>
  </si>
  <si>
    <t>Tax recognised directly in equity (£m)</t>
  </si>
  <si>
    <t>Supporting schedule input · A044</t>
  </si>
  <si>
    <t>ESOT share disposal proceeds (£m)</t>
  </si>
  <si>
    <t>Supporting schedule input · A056</t>
  </si>
  <si>
    <t>ESOT share purchases / cash outflow (£m)</t>
  </si>
  <si>
    <t>Supporting schedule input · A057</t>
  </si>
  <si>
    <t>NCI share of net income (%)</t>
  </si>
  <si>
    <t>Key visible driver · A059</t>
  </si>
  <si>
    <t>Defined benefit pension asset (£m)</t>
  </si>
  <si>
    <t>Temporary assumption · A068</t>
  </si>
  <si>
    <t>Provisions — non-current (£m)</t>
  </si>
  <si>
    <t>Temporary assumption · A048</t>
  </si>
  <si>
    <t>Deferred tax liabilities (£m) </t>
  </si>
  <si>
    <t>Temporary assumption · A037</t>
  </si>
  <si>
    <t>Other financial assets — current (£m)</t>
  </si>
  <si>
    <t>Temporary assumption · A018</t>
  </si>
  <si>
    <t>Current tax assets (£m)</t>
  </si>
  <si>
    <t>Calculated output · A020</t>
  </si>
  <si>
    <t>Other financial liabilities — current (£m</t>
  </si>
  <si>
    <t>Temporary assumption · A033</t>
  </si>
  <si>
    <t>Current tax liability (£m)</t>
  </si>
  <si>
    <t>Calculated output · A034</t>
  </si>
  <si>
    <t>Other payables — non-current (£m)</t>
  </si>
  <si>
    <t>Temporary assumption · A036</t>
  </si>
  <si>
    <t>Other financial liabilities — non-current (£m</t>
  </si>
  <si>
    <t>Temporary assumption · A038</t>
  </si>
  <si>
    <t>Other non-current financial assets (£m)</t>
  </si>
  <si>
    <t>Temporary assumption · A069</t>
  </si>
  <si>
    <t>OCI attributable to retained earnings (£m)</t>
  </si>
  <si>
    <t>Zero-event assumption · A115</t>
  </si>
  <si>
    <t>Put-option fair-value entry (£m)</t>
  </si>
  <si>
    <t>Zero-event assumption · A116</t>
  </si>
  <si>
    <t>NCI acquisitions / ownership changes (£m)</t>
  </si>
  <si>
    <t>Zero-event assumption · A117</t>
  </si>
  <si>
    <t>Retained-earnings recycling (£m)</t>
  </si>
  <si>
    <t>Zero-event assumption · A118</t>
  </si>
  <si>
    <t>NCI dividends (£m)</t>
  </si>
  <si>
    <t>Calculated output · A120</t>
  </si>
  <si>
    <t>Opening share capital</t>
  </si>
  <si>
    <t>Shares issued</t>
  </si>
  <si>
    <t>Ordinary shares cancelled / buybacks</t>
  </si>
  <si>
    <t>B Share issuance</t>
  </si>
  <si>
    <t>B Share redemption</t>
  </si>
  <si>
    <t>Closing share capital</t>
  </si>
  <si>
    <t>Capital Redemption Reserve Roll-Forward</t>
  </si>
  <si>
    <t>Opening capital redemption reserve</t>
  </si>
  <si>
    <t>Transfer on ordinary share cancellations</t>
  </si>
  <si>
    <t>Transfer on B Share redemption</t>
  </si>
  <si>
    <t>Closing capital redemption reserve</t>
  </si>
  <si>
    <t>Retained Earnings Roll-Forward</t>
  </si>
  <si>
    <t>Opening retained earnings</t>
  </si>
  <si>
    <t>Profit attributable to owners of parent</t>
  </si>
  <si>
    <t>OCI attributable to retained earnings</t>
  </si>
  <si>
    <t>Share buybacks and commitments</t>
  </si>
  <si>
    <t>Shares issued by ESOT — retained earnings impact</t>
  </si>
  <si>
    <t>Share option charge</t>
  </si>
  <si>
    <t>Fair value of put options</t>
  </si>
  <si>
    <t>Tax recognised directly in equity</t>
  </si>
  <si>
    <t>Equity dividends</t>
  </si>
  <si>
    <t>Acquisition / change in NCI</t>
  </si>
  <si>
    <t>Gain on disposal / recycled to retained earnings</t>
  </si>
  <si>
    <t>B Share distribution</t>
  </si>
  <si>
    <t>Closing retained earnings</t>
  </si>
  <si>
    <t>Pension asset — temporary net roll-forward</t>
  </si>
  <si>
    <t>Opening balance</t>
  </si>
  <si>
    <t>Net P&amp;L accrual (assumed zero)</t>
  </si>
  <si>
    <t>Net cash settlement (assumed zero)</t>
  </si>
  <si>
    <t>OCI / other recognised change (assumed zero)</t>
  </si>
  <si>
    <t>Closing balance</t>
  </si>
  <si>
    <t>FY2027 is the accepted closing anchor. Later years assume zero net accrual, settlement and OCI. This aggregate assumption does not forecast actuarial components or individual temporary differences.</t>
  </si>
  <si>
    <t>Provisions — temporary net roll-forward</t>
  </si>
  <si>
    <t>Deferred tax liability — temporary net roll-forward</t>
  </si>
  <si>
    <t>7. Dividends, buybacks and capital allocation</t>
  </si>
  <si>
    <t>Share buybacks (£m)</t>
  </si>
  <si>
    <t>Calculated output · A041</t>
  </si>
  <si>
    <t>Ordinary dividends paid (£m)</t>
  </si>
  <si>
    <t>Calculated output · A047</t>
  </si>
  <si>
    <t>Indicative dividend attributable to earnings (£m)</t>
  </si>
  <si>
    <t>Calculated output · A099</t>
  </si>
  <si>
    <t>Purchase of NCI equity (£m)</t>
  </si>
  <si>
    <t>Zero-event assumption · A111</t>
  </si>
  <si>
    <t>Issue of subsidiary shares to NCI (£m)</t>
  </si>
  <si>
    <t>Zero-event assumption · A112</t>
  </si>
  <si>
    <t>Separate B-share distribution (£m)</t>
  </si>
  <si>
    <t>Zero-event assumption · A119</t>
  </si>
  <si>
    <t>Residual shareholder return (£m)</t>
  </si>
  <si>
    <t>Calculated output · A122</t>
  </si>
  <si>
    <t>Special dividend / capital return (£m)</t>
  </si>
  <si>
    <t>Calculated output · A123</t>
  </si>
  <si>
    <t>Financing before non-ordinary shareholder return</t>
  </si>
  <si>
    <t>Other cash reconciliation</t>
  </si>
  <si>
    <t>Pre-return closing cash and cash equivalents</t>
  </si>
  <si>
    <t>Minimum balance-sheet cash</t>
  </si>
  <si>
    <t>Cash classification bridge</t>
  </si>
  <si>
    <t>Minimum cash and cash-equivalents balance</t>
  </si>
  <si>
    <t>Residual shareholder return</t>
  </si>
  <si>
    <t>ERR condition assumed satisfied</t>
  </si>
  <si>
    <t>Buyback</t>
  </si>
  <si>
    <t>Special dividend / capital return</t>
  </si>
  <si>
    <t>Allocation check</t>
  </si>
  <si>
    <t>Ordinary dividend policy and cash timing</t>
  </si>
  <si>
    <t>Economic dividend attributable to earnings</t>
  </si>
  <si>
    <t>Prior-year final share (timing assumption)</t>
  </si>
  <si>
    <t>Current-year interim share</t>
  </si>
  <si>
    <t>Illustrative cash dividend under 60/40</t>
  </si>
  <si>
    <t>Approved cash dividend payment plan</t>
  </si>
  <si>
    <t>Approved less timing illustration</t>
  </si>
  <si>
    <t>Timing convention difference</t>
  </si>
  <si>
    <t>FY2027 guidance</t>
  </si>
  <si>
    <t>8. Supporting operating cash and earnings</t>
  </si>
  <si>
    <t>Corporation taxes paid (£m)</t>
  </si>
  <si>
    <t>Calculated output · A055</t>
  </si>
  <si>
    <t>FY2026 53rd-week statutory revenue adjustment (£m)</t>
  </si>
  <si>
    <t>Supporting schedule input · A080</t>
  </si>
  <si>
    <t>FY2026 comparable 52-week statutory revenue (£m)</t>
  </si>
  <si>
    <t>Calculated output · A081</t>
  </si>
  <si>
    <t>FY2027 statutory revenue — 52-week model estimate (£m)</t>
  </si>
  <si>
    <t>Calculated output · A082</t>
  </si>
  <si>
    <t>Other operating gains / losses (£m)</t>
  </si>
  <si>
    <t>Zero-event assumption · A100</t>
  </si>
  <si>
    <t>Associate and JV impairment (£m)</t>
  </si>
  <si>
    <t>Zero-event assumption · A101</t>
  </si>
  <si>
    <t>Exceptional curtailment items (£m)</t>
  </si>
  <si>
    <t>Zero-event assumption · A102</t>
  </si>
  <si>
    <t>Exceptional transaction gain (£m)</t>
  </si>
  <si>
    <t>Zero-event assumption · A103</t>
  </si>
  <si>
    <t>Cash exchange-rate effect (£m)</t>
  </si>
  <si>
    <t>Zero-event assumption · A114</t>
  </si>
  <si>
    <t>PP&amp;E depreciation, impairment and disposal adjustment</t>
  </si>
  <si>
    <t>Profit on assets held for sale</t>
  </si>
  <si>
    <t>ROU depreciation / lease modification / disposal / impairment adjustment</t>
  </si>
  <si>
    <t>Intangible amortisation / impairment / disposal adjustment</t>
  </si>
  <si>
    <t>Associates, JVs &amp; other investments adjustment</t>
  </si>
  <si>
    <t>Share of profit of associates and joint ventures</t>
  </si>
  <si>
    <t>Exchange movement</t>
  </si>
  <si>
    <t>Decrease / (increase) in inventories and right of return asset</t>
  </si>
  <si>
    <t>Decrease / (increase) in customer and other receivables</t>
  </si>
  <si>
    <t>Increase in trade and other payables</t>
  </si>
  <si>
    <t>Repayment of loans — approved FY2027E input</t>
  </si>
  <si>
    <t>Drawdown of revolving credit facility — approved FY2027E input</t>
  </si>
  <si>
    <t>Proceeds from sale and leaseback transactions — approved FY2027E input</t>
  </si>
  <si>
    <t>Issue of corporate bonds — approved FY2027E input</t>
  </si>
  <si>
    <t>Return of capital via B share scheme — approved FY2027E input</t>
  </si>
  <si>
    <t>Exclude bank loans — approved FY2027E input</t>
  </si>
  <si>
    <t>FY2022 opening customer and other receivables</t>
  </si>
  <si>
    <t>Retained schedule diagnostics</t>
  </si>
  <si>
    <t>Balance-sheet check</t>
  </si>
  <si>
    <t>Cash-flow to balance-sheet cash check</t>
  </si>
  <si>
    <t>Gross-debt schedule check</t>
  </si>
  <si>
    <t>Lease-liability split check</t>
  </si>
  <si>
    <t>PP&amp;E schedule check</t>
  </si>
  <si>
    <t>Intangible schedule check</t>
  </si>
  <si>
    <t>ROU schedule check</t>
  </si>
  <si>
    <t>Receivables schedule check</t>
  </si>
  <si>
    <t>Payables schedule check</t>
  </si>
  <si>
    <t>Retained-earnings schedule check</t>
  </si>
  <si>
    <t>NCI roll-forward check</t>
  </si>
  <si>
    <t>Total capex check</t>
  </si>
  <si>
    <t>Capital-allocation check</t>
  </si>
  <si>
    <t>Days per year for operating ratios</t>
  </si>
  <si>
    <t>Ordinary share nominal value (£/share)</t>
  </si>
  <si>
    <t>Discount unwind / other finance cost — FY2027E input</t>
  </si>
  <si>
    <t>Profit on assets held for sale — FY2027E input</t>
  </si>
  <si>
    <t>Exchange movement — FY2027E input</t>
  </si>
  <si>
    <t>Audit and sources</t>
  </si>
  <si>
    <t>Overall accounting status</t>
  </si>
  <si>
    <t>Check</t>
  </si>
  <si>
    <t>Actual</t>
  </si>
  <si>
    <t>Expected</t>
  </si>
  <si>
    <t>Difference</t>
  </si>
  <si>
    <t>Tolerance</t>
  </si>
  <si>
    <t>Status</t>
  </si>
  <si>
    <t>Location / interpretation</t>
  </si>
  <si>
    <t>Balance sheet</t>
  </si>
  <si>
    <t>02 Model!D91</t>
  </si>
  <si>
    <t>Cash-flow closing cash</t>
  </si>
  <si>
    <t>02 Model!D137</t>
  </si>
  <si>
    <t>02 Model!E91</t>
  </si>
  <si>
    <t>02 Model!E137</t>
  </si>
  <si>
    <t>02 Model!F91</t>
  </si>
  <si>
    <t>02 Model!F137</t>
  </si>
  <si>
    <t>02 Model!G91</t>
  </si>
  <si>
    <t>02 Model!G137</t>
  </si>
  <si>
    <t>02 Model!H91</t>
  </si>
  <si>
    <t>02 Model!H137</t>
  </si>
  <si>
    <t>02 Model!I91</t>
  </si>
  <si>
    <t>02 Model!I137</t>
  </si>
  <si>
    <t>02 Model!J91</t>
  </si>
  <si>
    <t>02 Model!J137</t>
  </si>
  <si>
    <t>02 Model!K91</t>
  </si>
  <si>
    <t>02 Model!K137</t>
  </si>
  <si>
    <t>02 Model!L91</t>
  </si>
  <si>
    <t>02 Model!L137</t>
  </si>
  <si>
    <t>Closing cash definition bridge</t>
  </si>
  <si>
    <t>Prior-period cash classification difference carried forward.</t>
  </si>
  <si>
    <t>Gross-debt roll-forward</t>
  </si>
  <si>
    <t>Opening gross debt + debt cash receipts / payments.</t>
  </si>
  <si>
    <t>Debt to balance sheet</t>
  </si>
  <si>
    <t>Bank debt plus current and non-current bonds.</t>
  </si>
  <si>
    <t>Finance cost to schedule</t>
  </si>
  <si>
    <t>Borrowing, lease and other finance costs.</t>
  </si>
  <si>
    <t>Cash interest consistency</t>
  </si>
  <si>
    <t>Interest paid reconciles to borrowing and lease interest.</t>
  </si>
  <si>
    <t>Opening cash yield plus other finance income.</t>
  </si>
  <si>
    <t>Lease liability roll-forward</t>
  </si>
  <si>
    <t>Opening, additions, interest, payments, disposals and FX.</t>
  </si>
  <si>
    <t>Lease liability split</t>
  </si>
  <si>
    <t>Current plus non-current classification.</t>
  </si>
  <si>
    <t>PP&amp;E roll-forward</t>
  </si>
  <si>
    <t>Closing asset equals opening plus scheduled changes.</t>
  </si>
  <si>
    <t>Intangibles roll-forward</t>
  </si>
  <si>
    <t>ROU assets roll-forward</t>
  </si>
  <si>
    <t>Associates roll-forward</t>
  </si>
  <si>
    <t>Inventory cash reconciliation</t>
  </si>
  <si>
    <t>Inventory and right-of-return asset both included.</t>
  </si>
  <si>
    <t>Receivables cash reconciliation</t>
  </si>
  <si>
    <t>Credit book and other receivable components.</t>
  </si>
  <si>
    <t>Payables cash reconciliation</t>
  </si>
  <si>
    <t>Positive liability growth is a cash source.</t>
  </si>
  <si>
    <t>Receivables composition</t>
  </si>
  <si>
    <t>Sum of the component receivable accounts.</t>
  </si>
  <si>
    <t>Payables composition</t>
  </si>
  <si>
    <t>Sum of the component payable accounts.</t>
  </si>
  <si>
    <t>Retained earnings roll-forward</t>
  </si>
  <si>
    <t>Owners’ profit, ordinary and special returns, ESOT, equity tax.</t>
  </si>
  <si>
    <t>Owners and NCI earnings</t>
  </si>
  <si>
    <t>Owners’ share plus NCI share equals total net income.</t>
  </si>
  <si>
    <t>NCI roll-forward</t>
  </si>
  <si>
    <t>NCI opening balance, earnings and dividends.</t>
  </si>
  <si>
    <t>Total capex</t>
  </si>
  <si>
    <t>PP&amp;E and intangible cash capex equal the approved total.</t>
  </si>
  <si>
    <t>Dividend cash and equity</t>
  </si>
  <si>
    <t>Cash dividend equals the retained-earnings charge.</t>
  </si>
  <si>
    <t>Buyback cash and equity</t>
  </si>
  <si>
    <t>Cash repurchase equals the retained-earnings charge.</t>
  </si>
  <si>
    <t>Net tax balance roll-forward</t>
  </si>
  <si>
    <t>Tax expense, cash payment and direct equity tax credit.</t>
  </si>
  <si>
    <t>Capital allocation</t>
  </si>
  <si>
    <t>Residual return allocated once between buyback and capital return.</t>
  </si>
  <si>
    <t>Debt instruments</t>
  </si>
  <si>
    <t>Instrument balances equal total gross debt.</t>
  </si>
  <si>
    <t>Lease additions match</t>
  </si>
  <si>
    <t>ROU and liability additions have matching values.</t>
  </si>
  <si>
    <t>Interpretation and forecast limitations</t>
  </si>
  <si>
    <t>Cash dividends</t>
  </si>
  <si>
    <t>The approved cash amounts are preserved. The 36% payout with a 60/40 payment split is a separate illustration; differences are shown in the dividend schedule.</t>
  </si>
  <si>
    <t>Working-capital days</t>
  </si>
  <si>
    <t>Inventory and trade payable days use average balances. Closing balances therefore alternate around a smooth trend, creating uneven operating cash and residual returns.</t>
  </si>
  <si>
    <t>Financing</t>
  </si>
  <si>
    <t>£696m gross debt, £300m refinancing at 4.5%, RCF renewal and £100m closing cash are independent assumptions. No daily liquidity, covenant or refinancing-fee model is included.</t>
  </si>
  <si>
    <t>Leases and depreciation</t>
  </si>
  <si>
    <t>Depreciation, amortisation and lease additions/payments are annual supporting assumptions. They are not a fixed-asset vintage or lease-contract forecast.</t>
  </si>
  <si>
    <t>Pension, provisions and deferred tax</t>
  </si>
  <si>
    <t>Zero net-change roll-forwards retain the accepted balances. Detailed actuarial and temporary-difference forecasts are not available in this model.</t>
  </si>
  <si>
    <t>FY2027 guidance comparison</t>
  </si>
  <si>
    <t>Statutory revenue £7,265.6m is a normalised 52-week estimate. £7.5bn Group sales and £1,243m Group PBT use different definitions. Statutory PBT is £1,247.9m.</t>
  </si>
  <si>
    <t>Source cutoff</t>
  </si>
  <si>
    <t>Forecast judgements use only disclosures available by 5 August 2026. The January 2026 Annual Report and August Q2 statement are the principal forecast anchors.</t>
  </si>
  <si>
    <t>EPS and valuation</t>
  </si>
  <si>
    <t>Weighted-average EPS and valuation are not modelled. Share cancellation calculations only support the equity roll-forward.</t>
  </si>
  <si>
    <t>Source register</t>
  </si>
  <si>
    <t>ID</t>
  </si>
  <si>
    <t>Model item / location</t>
  </si>
  <si>
    <t>Document / basis</t>
  </si>
  <si>
    <t>Page / section</t>
  </si>
  <si>
    <t>Source</t>
  </si>
  <si>
    <t>02 Model!D8:G8 Revenue</t>
  </si>
  <si>
    <t>FY2023A–FY2026A</t>
  </si>
  <si>
    <t>NEXT Annual Reports Jan 2024, Jan 2025, Jan 2026</t>
  </si>
  <si>
    <t>Consolidated income statement</t>
  </si>
  <si>
    <t>Annual reports</t>
  </si>
  <si>
    <t>Treatment</t>
  </si>
  <si>
    <t>Company disclosures or ratios calculated from those disclosures. Historical presentation and figures preserved.</t>
  </si>
  <si>
    <t>02 Model!D9:G9 Revenue growth</t>
  </si>
  <si>
    <t>02 Model!D10:G10 Cost of sales</t>
  </si>
  <si>
    <t>02 Model!D11:G11 Cost of sales as % of Revenue</t>
  </si>
  <si>
    <t>02 Model!D12:G12 Impairment losses on customer and other receivables</t>
  </si>
  <si>
    <t>02 Model!D13:G13 Gross profit</t>
  </si>
  <si>
    <t>02 Model!D14:G14 Gross margin</t>
  </si>
  <si>
    <t>02 Model!D15:G15 Distribution costs</t>
  </si>
  <si>
    <t>02 Model!D16:G16 Distribution costs as % of Revenue</t>
  </si>
  <si>
    <t>02 Model!D17:G17 Administrative expenses</t>
  </si>
  <si>
    <t>02 Model!D18:G18 Administrative expenses as % of Revenue</t>
  </si>
  <si>
    <t>02 Model!D19:G19 Other gains / (losses)</t>
  </si>
  <si>
    <t>02 Model!D20:G20 Trading profit</t>
  </si>
  <si>
    <t>02 Model!D21:G21 Share of results of associates and joint ventures</t>
  </si>
  <si>
    <t>02 Model!D22:G22 Impairment in associates and joint ventures</t>
  </si>
  <si>
    <t>02 Model!D23:G23 Exceptional items — curtailment loss</t>
  </si>
  <si>
    <t>02 Model!D24:G24 Operating profit</t>
  </si>
  <si>
    <t>02 Model!D25:G25 Gain on Reiss transaction — exceptional item</t>
  </si>
  <si>
    <t>02 Model!D26:G26 Finance income</t>
  </si>
  <si>
    <t>02 Model!D27:G27 Finance costs</t>
  </si>
  <si>
    <t>02 Model!D28:G28 Profit before tax</t>
  </si>
  <si>
    <t>02 Model!D29:G29 Taxation</t>
  </si>
  <si>
    <t>02 Model!D30:G30 Net income</t>
  </si>
  <si>
    <t>02 Model!D37:G37 Property, plant and equipment</t>
  </si>
  <si>
    <t>Consolidated balance sheet</t>
  </si>
  <si>
    <t>02 Model!D38:G38 Intangible assets</t>
  </si>
  <si>
    <t>02 Model!D39:G39 Right-of-use assets</t>
  </si>
  <si>
    <t>02 Model!D40:G40 Associates, joint ventures and other investments</t>
  </si>
  <si>
    <t>02 Model!D41:G41 Defined benefit pension asset</t>
  </si>
  <si>
    <t>02 Model!D42:G42 Other non-current assets (financial / deferred tax)</t>
  </si>
  <si>
    <t>02 Model!D43:G43 Total non-current assets</t>
  </si>
  <si>
    <t>02 Model!D46:G46 Inventories</t>
  </si>
  <si>
    <t>02 Model!D47:G47 Customer and other receivables</t>
  </si>
  <si>
    <t>02 Model!D48:G48 Right of return asset</t>
  </si>
  <si>
    <t>02 Model!D49:G49 Other financial assets — current</t>
  </si>
  <si>
    <t>02 Model!D50:G50 Current tax assets</t>
  </si>
  <si>
    <t>02 Model!D51:G51 Cash and short-term deposits</t>
  </si>
  <si>
    <t>02 Model!D52:G52 Total current assets</t>
  </si>
  <si>
    <t>02 Model!D53:G53 TOTAL ASSETS</t>
  </si>
  <si>
    <t>02 Model!D57:G57 Bank loans and overdrafts</t>
  </si>
  <si>
    <t>02 Model!D58:G58 Corporate bonds — current</t>
  </si>
  <si>
    <t>02 Model!D59:G59 Trade payables and other payables</t>
  </si>
  <si>
    <t>02 Model!D60:G60 Lease liabilities — current</t>
  </si>
  <si>
    <t>02 Model!D61:G61 Other financial liabilities — current</t>
  </si>
  <si>
    <t>02 Model!D62:G62 Current tax liabilities</t>
  </si>
  <si>
    <t>02 Model!D63:G63 Total current liabilities</t>
  </si>
  <si>
    <t>02 Model!D66:G66 Borrowings — non-current</t>
  </si>
  <si>
    <t>02 Model!D67:G67 Provisions</t>
  </si>
  <si>
    <t>02 Model!D68:G68 Lease liabilities — non-current</t>
  </si>
  <si>
    <t>02 Model!D69:G69 Other financial liabilities — non-current</t>
  </si>
  <si>
    <t>02 Model!D70:G70 Other payables — non-current</t>
  </si>
  <si>
    <t>02 Model!D71:G71 Deferred tax liabilities</t>
  </si>
  <si>
    <t>02 Model!D72:G72 Total non-current liabilities</t>
  </si>
  <si>
    <t>02 Model!D73:G73 TOTAL LIABILITIES</t>
  </si>
  <si>
    <t>02 Model!D75:G75 NET ASSETS</t>
  </si>
  <si>
    <t>02 Model!D78:G78 Share capital</t>
  </si>
  <si>
    <t>02 Model!D79:G79 Share premium</t>
  </si>
  <si>
    <t>02 Model!D80:G80 Capital redemption reserve</t>
  </si>
  <si>
    <t>02 Model!D81:G81 ESOT reserve</t>
  </si>
  <si>
    <t>02 Model!D82:G82 Cash flow hedge reserve</t>
  </si>
  <si>
    <t>02 Model!D83:G83 Cost of hedging reserve</t>
  </si>
  <si>
    <t>02 Model!D84:G84 Foreign currency translation reserve</t>
  </si>
  <si>
    <t>02 Model!D85:G85 Other reserves</t>
  </si>
  <si>
    <t>02 Model!D86:G86 Retained earnings</t>
  </si>
  <si>
    <t>02 Model!D87:G87 Equity attributable to owners of parent</t>
  </si>
  <si>
    <t>02 Model!D88:G88 Non-controlling interests</t>
  </si>
  <si>
    <t>02 Model!D89:G89 TOTAL EQUITY</t>
  </si>
  <si>
    <t>02 Model!D97:G97 Cash generated from operations</t>
  </si>
  <si>
    <t>Consolidated cash flow statement</t>
  </si>
  <si>
    <t>02 Model!D98:G98 Corporation taxes paid</t>
  </si>
  <si>
    <t>02 Model!D99:G99 Net cash from operating activities</t>
  </si>
  <si>
    <t>02 Model!D102:G102 Payments to acquire property, plant and equipment</t>
  </si>
  <si>
    <t>02 Model!D103:G103 Proceeds from sale of property, plant and equipment</t>
  </si>
  <si>
    <t>02 Model!D104:G104 Proceeds from sale of held-for-sale assets</t>
  </si>
  <si>
    <t>02 Model!D105:G105 Proceeds from sale and leaseback transactions</t>
  </si>
  <si>
    <t>02 Model!D106:G106 Purchase of intangible assets</t>
  </si>
  <si>
    <t>02 Model!D107:G107 Amounts (loaned to) / repaid by associates and JVs</t>
  </si>
  <si>
    <t>02 Model!D108:G108 Investment in subsidiaries</t>
  </si>
  <si>
    <t>02 Model!D109:G109 Investment in associates and joint ventures</t>
  </si>
  <si>
    <t>02 Model!D110:G110 Other investing activities</t>
  </si>
  <si>
    <t>02 Model!D111:G111 Net cash used in investing activities</t>
  </si>
  <si>
    <t>02 Model!D114:G114 Repurchase of own shares</t>
  </si>
  <si>
    <t>02 Model!D115:G115 Purchase of shares by ESOT</t>
  </si>
  <si>
    <t>02 Model!D116:G116 Disposal of shares by ESOT</t>
  </si>
  <si>
    <t>02 Model!D117:G117 Purchase of equity from non-controlling interests</t>
  </si>
  <si>
    <t>02 Model!D118:G118 Issue of shares in subsidiaries to NCI</t>
  </si>
  <si>
    <t>02 Model!D119:G119 Repayment of loans</t>
  </si>
  <si>
    <t>02 Model!D120:G120 Drawdown of revolving credit facility</t>
  </si>
  <si>
    <t>02 Model!D121:G121 Lease incentives received</t>
  </si>
  <si>
    <t>02 Model!D122:G122 Lease payments</t>
  </si>
  <si>
    <t>02 Model!D123:G123 Interest paid (including lease interest)</t>
  </si>
  <si>
    <t>02 Model!D124:G124 Interest received</t>
  </si>
  <si>
    <t>02 Model!D125:G125 Proceeds from sale and leaseback transactions</t>
  </si>
  <si>
    <t>02 Model!D126:G126 Repayment of corporate bonds</t>
  </si>
  <si>
    <t>02 Model!D127:G127 Issue of corporate bonds</t>
  </si>
  <si>
    <t>02 Model!D128:G128 Return of capital via B share scheme</t>
  </si>
  <si>
    <t>02 Model!D129:G129 Dividends paid to owners of NEXT plc</t>
  </si>
  <si>
    <t>02 Model!D130:G130 Dividends paid to non-controlling interests</t>
  </si>
  <si>
    <t>02 Model!D131:G131 Net cash used in financing activities</t>
  </si>
  <si>
    <t>02 Model!D133:G133 Net increase / (decrease) in cash and cash equivalents</t>
  </si>
  <si>
    <t>02 Model!D134:G134 Opening cash and cash equivalents</t>
  </si>
  <si>
    <t>02 Model!D135:G135 Exclude bank loans</t>
  </si>
  <si>
    <t>02 Model!D136:G136 Effect of exchange rate fluctuations on cash held</t>
  </si>
  <si>
    <t>02 Model!D137:G137 Closing cash and cash equivalents</t>
  </si>
  <si>
    <t>S144</t>
  </si>
  <si>
    <t>03 Schedules!D19:G23</t>
  </si>
  <si>
    <t>NEXT Annual Reports / full-year results</t>
  </si>
  <si>
    <t>PP&amp;E and depreciation</t>
  </si>
  <si>
    <t>Historical schedule and accounting presentation retained. See legacy references below for individual note pointers.</t>
  </si>
  <si>
    <t>S152</t>
  </si>
  <si>
    <t>03 Schedules!D40:G44</t>
  </si>
  <si>
    <t>Intangibles and investments</t>
  </si>
  <si>
    <t>S170</t>
  </si>
  <si>
    <t>03 Schedules!D46:G50</t>
  </si>
  <si>
    <t>S160</t>
  </si>
  <si>
    <t>03 Schedules!D68:G74</t>
  </si>
  <si>
    <t>Right-of-use assets and lease liabilities</t>
  </si>
  <si>
    <t>S217</t>
  </si>
  <si>
    <t>03 Schedules!D76:G90</t>
  </si>
  <si>
    <t>S179</t>
  </si>
  <si>
    <t>03 Schedules!D106:G121</t>
  </si>
  <si>
    <t>Inventory, receivables and payables</t>
  </si>
  <si>
    <t>S199</t>
  </si>
  <si>
    <t>03 Schedules!D123:G136</t>
  </si>
  <si>
    <t>S236</t>
  </si>
  <si>
    <t>03 Schedules!D156:G161</t>
  </si>
  <si>
    <t>Debt, refinancing and interest</t>
  </si>
  <si>
    <t>S245</t>
  </si>
  <si>
    <t>03 Schedules!D163:G174</t>
  </si>
  <si>
    <t>S262</t>
  </si>
  <si>
    <t>03 Schedules!D227:G253</t>
  </si>
  <si>
    <t>Retained earnings, equity and NCI</t>
  </si>
  <si>
    <t>S293</t>
  </si>
  <si>
    <t>03 Schedules!D347:G360</t>
  </si>
  <si>
    <t>Supporting operating cash and earnings</t>
  </si>
  <si>
    <t>01 Assumptions!H9 Revenue growth</t>
  </si>
  <si>
    <t>Analyst assumption / modelling judgement</t>
  </si>
  <si>
    <t>Assumption at financial-information cutoff</t>
  </si>
  <si>
    <t>Model judgement</t>
  </si>
  <si>
    <t>52-week base in FY2027; subsequent annual statutory growth.</t>
  </si>
  <si>
    <t>01 Assumptions!H10 Cost of sales / Revenue</t>
  </si>
  <si>
    <t>Independent consolidated cost ratio.</t>
  </si>
  <si>
    <t>01 Assumptions!H11 Distribution costs / Revenue</t>
  </si>
  <si>
    <t>Gradual efficiency assumption; 14.65% in FY2029.</t>
  </si>
  <si>
    <t>01 Assumptions!H12 Administrative expenses / Revenue</t>
  </si>
  <si>
    <t>Gradual efficiency assumption; 10.75% in FY2030.</t>
  </si>
  <si>
    <t>01 Assumptions!H42 Tax rate</t>
  </si>
  <si>
    <t>Existing accepted forecast preserved. Supporting annual amounts and zero-event assumptions are not management guidance.</t>
  </si>
  <si>
    <t>A010</t>
  </si>
  <si>
    <t>03 Schedules!H10 PP&amp;E depreciation (£m)</t>
  </si>
  <si>
    <t>A011</t>
  </si>
  <si>
    <t>03 Schedules!H11 PP&amp;E disposals/other movements (£m)</t>
  </si>
  <si>
    <t>01 Assumptions!H25 Intangible additions (£m)</t>
  </si>
  <si>
    <t>A013</t>
  </si>
  <si>
    <t>03 Schedules!H12 PP&amp;E additions / CapEx (£m)</t>
  </si>
  <si>
    <t>01 Assumptions!H20 Prepayments / Revenue</t>
  </si>
  <si>
    <t>A015</t>
  </si>
  <si>
    <t>03 Schedules!H29 Intangible amortisation (£m)</t>
  </si>
  <si>
    <t>A016</t>
  </si>
  <si>
    <t>03 Schedules!H38 Amounts due from associates/JVs (m)</t>
  </si>
  <si>
    <t>A017</t>
  </si>
  <si>
    <t>03 Schedules!H96 Right of return asset (£m)</t>
  </si>
  <si>
    <t>A018</t>
  </si>
  <si>
    <t>03 Schedules!H214 Other financial assets — current (£m)</t>
  </si>
  <si>
    <t>A019</t>
  </si>
  <si>
    <t>03 Schedules!H142 Corporate bonds due within 12 months (£m)</t>
  </si>
  <si>
    <t>Derived calculation</t>
  </si>
  <si>
    <t>A020</t>
  </si>
  <si>
    <t>03 Schedules!H215 Current tax assets (£m)</t>
  </si>
  <si>
    <t>01 Assumptions!H18 Payables days</t>
  </si>
  <si>
    <t>A022</t>
  </si>
  <si>
    <t>03 Schedules!H97 Other taxation &amp; social security (£m)</t>
  </si>
  <si>
    <t>01 Assumptions!H21 Other creditors &amp; accruals / Revenue</t>
  </si>
  <si>
    <t>A024</t>
  </si>
  <si>
    <t>03 Schedules!H98 Share-based payment liability (£m)</t>
  </si>
  <si>
    <t>A025</t>
  </si>
  <si>
    <t>03 Schedules!H99 Deferred gift card revenue / Revenue</t>
  </si>
  <si>
    <t>A026</t>
  </si>
  <si>
    <t>03 Schedules!H100 Refund liabilities / Revenue</t>
  </si>
  <si>
    <t>A027</t>
  </si>
  <si>
    <t>03 Schedules!H101 Amounts owed to associates/JVs (£m)</t>
  </si>
  <si>
    <t>A028</t>
  </si>
  <si>
    <t>03 Schedules!H56 Lease liabilities arising from acquisitions (£m)</t>
  </si>
  <si>
    <t>01 Assumptions!H30 Lease interest rate </t>
  </si>
  <si>
    <t>A030</t>
  </si>
  <si>
    <t>03 Schedules!H57 Lease liability disposals (£m)</t>
  </si>
  <si>
    <t>A031</t>
  </si>
  <si>
    <t>03 Schedules!H58 Lease liability FX effect (£m)</t>
  </si>
  <si>
    <t>A032</t>
  </si>
  <si>
    <t>03 Schedules!H59 Current lease liability % of total</t>
  </si>
  <si>
    <t>A033</t>
  </si>
  <si>
    <t>03 Schedules!H216 Other financial liabilities — current (£m</t>
  </si>
  <si>
    <t>A034</t>
  </si>
  <si>
    <t>03 Schedules!H217 Current tax liability (£m)</t>
  </si>
  <si>
    <t>01 Assumptions!H29 Lease payments (£m)</t>
  </si>
  <si>
    <t>A036</t>
  </si>
  <si>
    <t>03 Schedules!H218 Other payables — non-current (£m)</t>
  </si>
  <si>
    <t>A037</t>
  </si>
  <si>
    <t>03 Schedules!H213 Deferred tax liabilities (£m) </t>
  </si>
  <si>
    <t>A038</t>
  </si>
  <si>
    <t>03 Schedules!H219 Other financial liabilities — non-current (£m</t>
  </si>
  <si>
    <t>A039</t>
  </si>
  <si>
    <t>03 Schedules!H143 Borrowings — non-current (£m)</t>
  </si>
  <si>
    <t>A040</t>
  </si>
  <si>
    <t>03 Schedules!H204 ordinary shares cancelled (m)</t>
  </si>
  <si>
    <t>A041</t>
  </si>
  <si>
    <t>03 Schedules!H301 Share buybacks (£m)</t>
  </si>
  <si>
    <t>A042</t>
  </si>
  <si>
    <t>03 Schedules!H205 ESOT shares issued — retained earnings impact (£m)</t>
  </si>
  <si>
    <t>A043</t>
  </si>
  <si>
    <t>03 Schedules!H206 Share option charge (£m)</t>
  </si>
  <si>
    <t>A044</t>
  </si>
  <si>
    <t>03 Schedules!H207 Tax recognised directly in equity (£m)</t>
  </si>
  <si>
    <t>A045</t>
  </si>
  <si>
    <t>03 Schedules!H144 Other interest receivable (£m)</t>
  </si>
  <si>
    <t>01 Assumptions!H36 Cash yield (%)</t>
  </si>
  <si>
    <t>A047</t>
  </si>
  <si>
    <t>03 Schedules!H302 Ordinary dividends paid (£m)</t>
  </si>
  <si>
    <t>A048</t>
  </si>
  <si>
    <t>03 Schedules!H212 Provisions — non-current (£m)</t>
  </si>
  <si>
    <t>A049</t>
  </si>
  <si>
    <t>03 Schedules!H13 PP&amp;E loss/(profit) on disposal (m)</t>
  </si>
  <si>
    <t>A050</t>
  </si>
  <si>
    <t>03 Schedules!H60 ROU modification/disposal P&amp;L adjustment (m)</t>
  </si>
  <si>
    <t>A051</t>
  </si>
  <si>
    <t>03 Schedules!H61 ROU impairment/(reversal) (m)</t>
  </si>
  <si>
    <t>A052</t>
  </si>
  <si>
    <t>03 Schedules!H30 Intangible disposal P&amp;L adjustment (m)</t>
  </si>
  <si>
    <t>A053</t>
  </si>
  <si>
    <t>03 Schedules!H31 Intangible impairment (m)</t>
  </si>
  <si>
    <t>A054</t>
  </si>
  <si>
    <t>03 Schedules!H14 PP&amp;E impairment charge (m)</t>
  </si>
  <si>
    <t>A055</t>
  </si>
  <si>
    <t>03 Schedules!H337 Corporation taxes paid (£m)</t>
  </si>
  <si>
    <t>A056</t>
  </si>
  <si>
    <t>03 Schedules!H208 ESOT share disposal proceeds (£m)</t>
  </si>
  <si>
    <t>A057</t>
  </si>
  <si>
    <t>03 Schedules!H209 ESOT share purchases / cash outflow (£m)</t>
  </si>
  <si>
    <t>01 Assumptions!H34 Bank loans &amp; overdrafts — closing balance (£m)</t>
  </si>
  <si>
    <t>Bank/RCF draw balance. £696m total debt is a temporary financing case.</t>
  </si>
  <si>
    <t>A059</t>
  </si>
  <si>
    <t>03 Schedules!H210 NCI share of net income (%)</t>
  </si>
  <si>
    <t>A060</t>
  </si>
  <si>
    <t>03 Schedules!H102 Other debtors (£m)</t>
  </si>
  <si>
    <t>A061</t>
  </si>
  <si>
    <t>03 Schedules!H32 Intangible acquisitions / disposals / other (£m)</t>
  </si>
  <si>
    <t>01 Assumptions!H28 ROU new lease additions (£m)</t>
  </si>
  <si>
    <t>A063</t>
  </si>
  <si>
    <t>03 Schedules!H62 ROU assets arising from acquisitions (£m)</t>
  </si>
  <si>
    <t>A064</t>
  </si>
  <si>
    <t>03 Schedules!H63 ROU lease modifications / amendments (£m)</t>
  </si>
  <si>
    <t>A065</t>
  </si>
  <si>
    <t>03 Schedules!H64 ROU depreciation (£m)</t>
  </si>
  <si>
    <t>A066</t>
  </si>
  <si>
    <t>03 Schedules!H65 ROU disposals / impairment / other (£m)</t>
  </si>
  <si>
    <t>A067</t>
  </si>
  <si>
    <t>03 Schedules!H33 Associates/JVs — new investment / dividends / other (£m)</t>
  </si>
  <si>
    <t>A068</t>
  </si>
  <si>
    <t>03 Schedules!H211 Defined benefit pension asset (£m)</t>
  </si>
  <si>
    <t>A069</t>
  </si>
  <si>
    <t>03 Schedules!H220 Other non-current financial assets (£m)</t>
  </si>
  <si>
    <t>01 Assumptions!H17 Inventory days</t>
  </si>
  <si>
    <t>A071</t>
  </si>
  <si>
    <t>03 Schedules!H103 Customer receivables — closing balance forecast (£m)</t>
  </si>
  <si>
    <t>A072</t>
  </si>
  <si>
    <t>03 Schedules!H104 Other trade receivables (£m)</t>
  </si>
  <si>
    <t>A074</t>
  </si>
  <si>
    <t>03 Schedules!H145 Circularity switch (0 = opening / 1 = average)</t>
  </si>
  <si>
    <t>A075</t>
  </si>
  <si>
    <t>03 Schedules!H146 2026 bond effective rate (%)</t>
  </si>
  <si>
    <t>A076</t>
  </si>
  <si>
    <t>03 Schedules!H147 2026 bond year fraction</t>
  </si>
  <si>
    <t>A077</t>
  </si>
  <si>
    <t>03 Schedules!H148 2028 bond coupon (%)</t>
  </si>
  <si>
    <t>Company-disclosed contractual terms</t>
  </si>
  <si>
    <t>Borrowings note</t>
  </si>
  <si>
    <t>Open document</t>
  </si>
  <si>
    <t>A078</t>
  </si>
  <si>
    <t>03 Schedules!H149 2031 bond coupon (%)</t>
  </si>
  <si>
    <t>01 Assumptions!H35 bank / RCF / overdraft rate (%)</t>
  </si>
  <si>
    <t>A080</t>
  </si>
  <si>
    <t>03 Schedules!H338 FY2026 53rd-week statutory revenue adjustment (£m)</t>
  </si>
  <si>
    <t>A081</t>
  </si>
  <si>
    <t>03 Schedules!H339 FY2026 comparable 52-week statutory revenue (£m)</t>
  </si>
  <si>
    <t>A082</t>
  </si>
  <si>
    <t>03 Schedules!H340 FY2027 statutory revenue — 52-week model estimate (£m)</t>
  </si>
  <si>
    <t>01 Assumptions!H13 Receivables impairment expense (£m)</t>
  </si>
  <si>
    <t>Net impairment expense; credit-book growth is separate.</t>
  </si>
  <si>
    <t>01 Assumptions!H14 Share of associates and JVs (£m)</t>
  </si>
  <si>
    <t>Independent share-of-profit forecast.</t>
  </si>
  <si>
    <t>01 Assumptions!H46 Cash dividends paid (£m)</t>
  </si>
  <si>
    <t>Approved cash plan; compare with the 60/40 timing illustration in Schedules.</t>
  </si>
  <si>
    <t>01 Assumptions!H19 Customer-credit-book growth</t>
  </si>
  <si>
    <t>Applies to NEXT Finance customer receivables from FY2028.</t>
  </si>
  <si>
    <t>01 Assumptions!H45 Economic dividend payout</t>
  </si>
  <si>
    <t>Economic payout cross-check; cash paid follows the approved payment plan.</t>
  </si>
  <si>
    <t>01 Assumptions!H33 Minimum balance-sheet cash (£m)</t>
  </si>
  <si>
    <t>£100m minimum closing cash from FY2028; seasonal needs unmodelled.</t>
  </si>
  <si>
    <t>01 Assumptions!H47 Average buyback price (£/share)</t>
  </si>
  <si>
    <t>Independent repurchase price; no market-price forecast is implied.</t>
  </si>
  <si>
    <t>01 Assumptions!H38 2028 bond refinancing proceeds (£m)</t>
  </si>
  <si>
    <t>Refinancing in FY2029 for the bond due May 2028.</t>
  </si>
  <si>
    <t>01 Assumptions!H37 Refinancing rate</t>
  </si>
  <si>
    <t>A094</t>
  </si>
  <si>
    <t>03 Schedules!H150 2028 bond pre-refinancing year fraction</t>
  </si>
  <si>
    <t>01 Assumptions!H39 RCF renewal / replacement assumed (1 = yes)</t>
  </si>
  <si>
    <t>Renewal assumed for the £525m RCF expiring June 2029.</t>
  </si>
  <si>
    <t>01 Assumptions!H48 NCI dividend payout</t>
  </si>
  <si>
    <t>A097</t>
  </si>
  <si>
    <t>03 Schedules!H151 Other finance cost (£m)</t>
  </si>
  <si>
    <t>A098</t>
  </si>
  <si>
    <t>03 Schedules!H152 Cash classification bridge (£m)</t>
  </si>
  <si>
    <t>A099</t>
  </si>
  <si>
    <t>03 Schedules!H303 Indicative dividend attributable to earnings (£m)</t>
  </si>
  <si>
    <t>A100</t>
  </si>
  <si>
    <t>03 Schedules!H341 Other operating gains / losses (£m)</t>
  </si>
  <si>
    <t>A101</t>
  </si>
  <si>
    <t>03 Schedules!H342 Associate and JV impairment (£m)</t>
  </si>
  <si>
    <t>A102</t>
  </si>
  <si>
    <t>03 Schedules!H343 Exceptional curtailment items (£m)</t>
  </si>
  <si>
    <t>A103</t>
  </si>
  <si>
    <t>03 Schedules!H344 Exceptional transaction gain (£m)</t>
  </si>
  <si>
    <t>A104</t>
  </si>
  <si>
    <t>03 Schedules!H15 PP&amp;E sale proceeds (£m)</t>
  </si>
  <si>
    <t>A105</t>
  </si>
  <si>
    <t>03 Schedules!H16 Held-for-sale asset proceeds (£m)</t>
  </si>
  <si>
    <t>A106</t>
  </si>
  <si>
    <t>03 Schedules!H17 Sale-and-leaseback proceeds (£m)</t>
  </si>
  <si>
    <t>A107</t>
  </si>
  <si>
    <t>03 Schedules!H34 Loans to / from associates and JVs (£m)</t>
  </si>
  <si>
    <t>A108</t>
  </si>
  <si>
    <t>03 Schedules!H35 Investment in subsidiaries (£m)</t>
  </si>
  <si>
    <t>A109</t>
  </si>
  <si>
    <t>03 Schedules!H36 Investment in associates and JVs (£m)</t>
  </si>
  <si>
    <t>A110</t>
  </si>
  <si>
    <t>03 Schedules!H37 Other investing activities (£m)</t>
  </si>
  <si>
    <t>A111</t>
  </si>
  <si>
    <t>03 Schedules!H304 Purchase of NCI equity (£m)</t>
  </si>
  <si>
    <t>A112</t>
  </si>
  <si>
    <t>03 Schedules!H305 Issue of subsidiary shares to NCI (£m)</t>
  </si>
  <si>
    <t>A113</t>
  </si>
  <si>
    <t>03 Schedules!H66 Lease incentives received (£m)</t>
  </si>
  <si>
    <t>A114</t>
  </si>
  <si>
    <t>03 Schedules!H345 Cash exchange-rate effect (£m)</t>
  </si>
  <si>
    <t>A115</t>
  </si>
  <si>
    <t>03 Schedules!H221 OCI attributable to retained earnings (£m)</t>
  </si>
  <si>
    <t>A116</t>
  </si>
  <si>
    <t>03 Schedules!H222 Put-option fair-value entry (£m)</t>
  </si>
  <si>
    <t>A117</t>
  </si>
  <si>
    <t>03 Schedules!H223 NCI acquisitions / ownership changes (£m)</t>
  </si>
  <si>
    <t>A118</t>
  </si>
  <si>
    <t>03 Schedules!H224 Retained-earnings recycling (£m)</t>
  </si>
  <si>
    <t>A119</t>
  </si>
  <si>
    <t>03 Schedules!H306 Separate B-share distribution (£m)</t>
  </si>
  <si>
    <t>A120</t>
  </si>
  <si>
    <t>03 Schedules!H225 NCI dividends (£m)</t>
  </si>
  <si>
    <t>01 Assumptions!H49 ERR condition assumed satisfied (1 = yes)</t>
  </si>
  <si>
    <t>1 routes residual returns to buybacks, 0 to special capital return.</t>
  </si>
  <si>
    <t>A122</t>
  </si>
  <si>
    <t>03 Schedules!H307 Residual shareholder return (£m)</t>
  </si>
  <si>
    <t>A123</t>
  </si>
  <si>
    <t>03 Schedules!H308 Special dividend / capital return (£m)</t>
  </si>
  <si>
    <t>A124</t>
  </si>
  <si>
    <t>03 Schedules!H153 2028 bond opening balance (£m)</t>
  </si>
  <si>
    <t>A125</t>
  </si>
  <si>
    <t>03 Schedules!H154 2031 bond opening balance (£m)</t>
  </si>
  <si>
    <t>01 Assumptions!H24 Total cash capex (£m)</t>
  </si>
  <si>
    <t>Disclosed programme plus model allocation</t>
  </si>
  <si>
    <t>Capital expenditure and warehouse programme</t>
  </si>
  <si>
    <t>Warehouse plan anchors FY2028–30; FY2031 is a model estimate.</t>
  </si>
  <si>
    <t>L01</t>
  </si>
  <si>
    <t>Historical financial statements</t>
  </si>
  <si>
    <t>FY2023A–FY2024A</t>
  </si>
  <si>
    <t>Inherited source register</t>
  </si>
  <si>
    <t>Section named in model item</t>
  </si>
  <si>
    <t>Official NEXT plc Annual Report and Accounts, January 2024.</t>
  </si>
  <si>
    <t>L02</t>
  </si>
  <si>
    <t>Official NEXT plc Annual Report and Accounts, January 2025.</t>
  </si>
  <si>
    <t>L03</t>
  </si>
  <si>
    <t>Official NEXT plc Annual Report and Accounts, January 2026.</t>
  </si>
  <si>
    <t>L04</t>
  </si>
  <si>
    <t>Forecast guidance</t>
  </si>
  <si>
    <t>Official NEXT Q2 trading statement, 5 Aug 2026. Group sales guidance £7.5bn; NEXT Group PBT guidance £1,243m. Group sales are not statutory revenue.</t>
  </si>
  <si>
    <t>L05</t>
  </si>
  <si>
    <t>PP&amp;E historical schedule FY2023A-FY2024A</t>
  </si>
  <si>
    <t>See document</t>
  </si>
  <si>
    <t>Revenue growth and FY2027 cost-of-sales/distribution/admin assumptions carried over from the user's existing analysis; no new forecast assumptions invented.</t>
  </si>
  <si>
    <t>L06</t>
  </si>
  <si>
    <t>PP&amp;E historical schedule FY2025A-FY2026A</t>
  </si>
  <si>
    <t>Preserved source pointer.</t>
  </si>
  <si>
    <t>L07</t>
  </si>
  <si>
    <t>FY2027E PP&amp;E additions assumption</t>
  </si>
  <si>
    <t>Consolidated Statements of Changes in Equity in the same NEXT annual reports above</t>
  </si>
  <si>
    <t>L08</t>
  </si>
  <si>
    <t>Intangibles historical schedule FY2023A-FY2024A</t>
  </si>
  <si>
    <t>L09</t>
  </si>
  <si>
    <t>Intangibles historical schedule FY2025A-FY2026A</t>
  </si>
  <si>
    <t>Row 42 combines non-current other financial assets and deferred tax assets where applicable; this preserves statutory totals across periods.</t>
  </si>
  <si>
    <t>L10</t>
  </si>
  <si>
    <t>ROU assets historical schedule FY2023A-FY2024A</t>
  </si>
  <si>
    <t>Row 66 combines non-current bank loans and corporate bonds where applicable; debt will be separated in the supporting debt schedule during forecasting.</t>
  </si>
  <si>
    <t>L11</t>
  </si>
  <si>
    <t>ROU assets historical schedule FY2025A-FY2026A</t>
  </si>
  <si>
    <t>L12</t>
  </si>
  <si>
    <t>Associates/JVs historical schedule FY2023A–FY2024A</t>
  </si>
  <si>
    <t>Note 13</t>
  </si>
  <si>
    <t>Note 13. Schedule reconciles total carrying value including other investments; share of results ties to the Income Statement.</t>
  </si>
  <si>
    <t>L13</t>
  </si>
  <si>
    <t>Associates/JVs historical schedule FY2025A</t>
  </si>
  <si>
    <t>Note 13. £13.0m associate/JV impairment is shown separately; remaining movements are included in 'New investment / dividends / other'.</t>
  </si>
  <si>
    <t>L14</t>
  </si>
  <si>
    <t>Associates/JVs historical schedule FY2026A</t>
  </si>
  <si>
    <t>Note 13. Closing carrying value £35.2m; share of profit £7.9m; impairment £2.9m; other investments fell to nil.</t>
  </si>
  <si>
    <t>L15</t>
  </si>
  <si>
    <t>Trade payables &amp; other payables historical schedule</t>
  </si>
  <si>
    <t>Note 10</t>
  </si>
  <si>
    <t>Note 10. FY2022 trade payables £275.4m is used as FY2023 opening trade payables for average balance/payables-days calculation.</t>
  </si>
  <si>
    <t>L16</t>
  </si>
  <si>
    <t>Note 9</t>
  </si>
  <si>
    <t>Note 9. Other creditors and accruals combined to maintain a consistent historical component schedule.</t>
  </si>
  <si>
    <t>L17</t>
  </si>
  <si>
    <t>Note 18</t>
  </si>
  <si>
    <t>Note 18. FY2026 other creditors £74.8m plus accruals £417.6m are combined as £492.4m for consistency.</t>
  </si>
  <si>
    <t>L18</t>
  </si>
  <si>
    <t>Lease liability historical schedule</t>
  </si>
  <si>
    <t>L19</t>
  </si>
  <si>
    <t>L20</t>
  </si>
  <si>
    <t>L21</t>
  </si>
  <si>
    <t>Debt Schedule — FY2024 Annual Report</t>
  </si>
  <si>
    <t>L22</t>
  </si>
  <si>
    <t>Debt Schedule — FY2025 Annual Report</t>
  </si>
  <si>
    <t>L23</t>
  </si>
  <si>
    <t>Debt Schedule — FY2026 Annual Report</t>
  </si>
  <si>
    <t>L24</t>
  </si>
  <si>
    <t>FY2024 Equity / Statement of Changes in Equity</t>
  </si>
  <si>
    <t>L25</t>
  </si>
  <si>
    <t>FY2025 Equity / Statement of Changes in Equity</t>
  </si>
  <si>
    <t>L26</t>
  </si>
  <si>
    <t>FY2026 Equity / Statement of Changes in Equity</t>
  </si>
  <si>
    <t>L27</t>
  </si>
  <si>
    <t>FY2023A–FY2024A cash flow statement</t>
  </si>
  <si>
    <t>L28</t>
  </si>
  <si>
    <t>FY2025A cash flow statement</t>
  </si>
  <si>
    <t>L29</t>
  </si>
  <si>
    <t>FY2026A cash flow statement / debt</t>
  </si>
  <si>
    <t>L30</t>
  </si>
  <si>
    <t>Current bond terms</t>
  </si>
  <si>
    <t>L31</t>
  </si>
  <si>
    <t>FY2027 latest reports page</t>
  </si>
  <si>
    <t>L32</t>
  </si>
  <si>
    <t>Note 32</t>
  </si>
  <si>
    <t>Operating cash reconciliation</t>
  </si>
  <si>
    <t>L33</t>
  </si>
  <si>
    <t>Note 16</t>
  </si>
  <si>
    <t>L34</t>
  </si>
  <si>
    <t>L35</t>
  </si>
  <si>
    <t>FY2027 statutory-revenue normalisation</t>
  </si>
  <si>
    <t>FY2026A–FY2027E</t>
  </si>
  <si>
    <t>FY2026 bridge: £7,004m Group sales + £111m 53rd week − £749m commission sales + £301m commission revenue − £62m unconsolidated investment sales + £178m consolidated NCI sales + £118m other income = £6,901m statutory revenue. FY2027 cross-check range is approximately £7.27bn–£7.29bn. The approximately £7,265.6m model result uses the workbook's precise £6,901.3m FY2026 revenue and is a normalised 52-week model estimate, not NEXT guidance.</t>
  </si>
  <si>
    <t>L36</t>
  </si>
  <si>
    <t>FY2028–FY2031 base-case forecast</t>
  </si>
  <si>
    <t>FY2028E–FY2031E</t>
  </si>
  <si>
    <t>FY2028–FY2030 warehouse capex and debt maturities use NEXT disclosures. All other FY2028–FY2031 values are independent model assumptions or calculated outputs, not management guidance.</t>
  </si>
  <si>
    <t>L37</t>
  </si>
  <si>
    <t>Debt maturity and coupon terms</t>
  </si>
  <si>
    <t>£300m 3.625% bond matures 18 May 2028; £300m 5.00% note matures 17 July 2031. The 4.5% refinancing rate is an independent model assumption.</t>
  </si>
  <si>
    <t>G01</t>
  </si>
  <si>
    <t>FY2027 Group sales and profit definitions</t>
  </si>
  <si>
    <t>NEXT Q2 trading statement, 5 August 2026</t>
  </si>
  <si>
    <t>Pages 1–3</t>
  </si>
  <si>
    <t>Company guidance uses Group sales and Group PBT definitions. Statutory forecasts are independent calculations.</t>
  </si>
  <si>
    <t>G02</t>
  </si>
  <si>
    <t>FY2026 to FY2027 statutory revenue base</t>
  </si>
  <si>
    <t>NEXT Annual Report January 2026</t>
  </si>
  <si>
    <t>Revenue reconciliation / 53rd week</t>
  </si>
  <si>
    <t>£6,901.3m less £111m = £6,790.3m comparable base; 7% model growth gives £7,265.621m.</t>
  </si>
  <si>
    <t>M01</t>
  </si>
  <si>
    <t>Cash classification and net debt</t>
  </si>
  <si>
    <t>Accepted model cash definition</t>
  </si>
  <si>
    <t>Cash-flow reconciliation</t>
  </si>
  <si>
    <t>£36m difference between balance-sheet cash and cash equivalents is held constant. Net debt output uses cash equivalents; the separate balance-sheet-cash measure differs by £36m.</t>
  </si>
  <si>
    <t>NEXT plc — base-case DCF valuation</t>
  </si>
  <si>
    <t>FCFF, leases treated as operating costs. £m except £ per share and shares in millions. Base Case.</t>
  </si>
  <si>
    <t>Final build: 10 September 2026. Valuation date: 7 September 2026. Market-input corroboration reviewed through 10 September; operating forecasts retain their 5 August cutoff. January balance-sheet proxies remain.</t>
  </si>
  <si>
    <t>Base-case DCF valuation</t>
  </si>
  <si>
    <t>Implied value per diluted share</t>
  </si>
  <si>
    <t>Intrinsic value conditional on the assumptions, not a guaranteed price.</t>
  </si>
  <si>
    <t>Observed market price</t>
  </si>
  <si>
    <t>LSEG via Investors Chronicle, 7 Sep 2026, 16:35 BST.</t>
  </si>
  <si>
    <t>Implied upside / (downside)</t>
  </si>
  <si>
    <t>No input has been chosen to force agreement with the market.</t>
  </si>
  <si>
    <t>Enterprise value</t>
  </si>
  <si>
    <t>Operating value after lease cash costs.</t>
  </si>
  <si>
    <t>Equity value</t>
  </si>
  <si>
    <t>Calculated WACC</t>
  </si>
  <si>
    <t>CAPM and gross financial-debt weights; lease debt excluded.</t>
  </si>
  <si>
    <t>Terminal growth</t>
  </si>
  <si>
    <t>Independent perpetual nominal GBP growth assumption.</t>
  </si>
  <si>
    <t>PV terminal value / enterprise value</t>
  </si>
  <si>
    <t>A high percentage makes terminal assumptions particularly important.</t>
  </si>
  <si>
    <t>Calculation-check failures</t>
  </si>
  <si>
    <t>Zero indicates that the listed calculation checks pass; valuation proxies remain judgement-sensitive.</t>
  </si>
  <si>
    <t>Mature incremental ROIC</t>
  </si>
  <si>
    <t>Review limitations: stale capital-structure / ESOT balances, proxy dilution and NCI values, annual FY2027 cash-flow proration, beta methodology and terminal reinvestment. See the learning guide.</t>
  </si>
  <si>
    <t>WACC × terminal growth — implied £ per share</t>
  </si>
  <si>
    <t>Formula-driven sensitivity. Columns vary terminal growth; rows vary WACC. Five-year fade held fixed; terminal reinvestment recalculates. Outlined centre is the base case.</t>
  </si>
  <si>
    <t>No Excel What-If Data Table or captured results. All grid cells calculate dynamically from the explicit, transition and terminal cash flows.</t>
  </si>
  <si>
    <t>Mature incremental ROIC comparison</t>
  </si>
  <si>
    <t>Return on new capital</t>
  </si>
  <si>
    <t>Indicative value / diluted share</t>
  </si>
  <si>
    <t>Lower return</t>
  </si>
  <si>
    <t>Base case</t>
  </si>
  <si>
    <t>Higher return</t>
  </si>
  <si>
    <t>ROIC comparison changes reinvestment in both the transition and terminal periods. It does not change the operating forecasts or the EV-to-equity bridge.</t>
  </si>
  <si>
    <t>Market inputs, share count and WACC</t>
  </si>
  <si>
    <t>Valuation / quote date</t>
  </si>
  <si>
    <t>Latest reported balance-sheet date</t>
  </si>
  <si>
    <t>Observed price (pence)</t>
  </si>
  <si>
    <t>V01. Latest completed-session observation; not a live quote.</t>
  </si>
  <si>
    <t>Observed price (£)</t>
  </si>
  <si>
    <t>Convert pence into pounds before calculating market equity.</t>
  </si>
  <si>
    <t>Issued ordinary shares (m)</t>
  </si>
  <si>
    <t>V02. At 28 Aug 2026; announced 1 Sep. No treasury shares.</t>
  </si>
  <si>
    <t>ESOT shares excluded (m)</t>
  </si>
  <si>
    <t>V03, note 27. 31 Jan 2026 holding used as a dated proxy.</t>
  </si>
  <si>
    <t>Treasury shares excluded (m)</t>
  </si>
  <si>
    <t>V02. ESOT holdings are separate from treasury shares.</t>
  </si>
  <si>
    <t>Current basic shares proxy (m)</t>
  </si>
  <si>
    <t>Issued less ESOT and treasury; not weighted-average EPS shares.</t>
  </si>
  <si>
    <t>Incremental dilution proxy (m)</t>
  </si>
  <si>
    <t>V03, note 9: FY2026 weighted-average potential shares. Not a current option valuation.</t>
  </si>
  <si>
    <t>Diluted shares proxy (m)</t>
  </si>
  <si>
    <t>Current issued count plus dated dilution inputs; refresh with interim details.</t>
  </si>
  <si>
    <t>Market value of equity</t>
  </si>
  <si>
    <t>Basic economic shares for WACC weights, not DCF-implied equity.</t>
  </si>
  <si>
    <t>GBP risk-free rate (annual effective)</t>
  </si>
  <si>
    <t>V04. BoE 7 Sep 2026 ten-year nominal spot; continuous rate converted to annual effective.</t>
  </si>
  <si>
    <t>Mature-market implied ERP</t>
  </si>
  <si>
    <t>V05. Damodaran, 1 Sep 2026; US implied premium before default adjustment.</t>
  </si>
  <si>
    <t>ERP default-risk adjustment</t>
  </si>
  <si>
    <t>V05. Add the US default spread for a default-adjusted mature-market ERP.</t>
  </si>
  <si>
    <t>Applied equity risk premium</t>
  </si>
  <si>
    <t>Mature-market proxy applied in GBP; no separate country-risk overlay.</t>
  </si>
  <si>
    <t>Triangulated equity beta</t>
  </si>
  <si>
    <t>V09. Independent judgement: five-year vendor estimate c.1.04; European specialty-retail screen c.1.14.</t>
  </si>
  <si>
    <t>Cost of equity — CAPM</t>
  </si>
  <si>
    <t>Risk-free rate + beta × equity risk premium.</t>
  </si>
  <si>
    <t>Assumed marginal credit spread</t>
  </si>
  <si>
    <t>V10. BBB spread proxy, January 2026 ratings basket; not an observed current NEXT bond spread.</t>
  </si>
  <si>
    <t>Pre-tax marginal cost of debt</t>
  </si>
  <si>
    <t>Not the historical coupon or the operating forecast refinancing rate.</t>
  </si>
  <si>
    <t>Marginal tax rate</t>
  </si>
  <si>
    <t>25% UK / forecast proxy; assume interest tax relief is usable.</t>
  </si>
  <si>
    <t>After-tax cost of debt</t>
  </si>
  <si>
    <t>Interest tax shield is captured here, not deducted from FCFF.</t>
  </si>
  <si>
    <t>Estimated market value of financial debt</t>
  </si>
  <si>
    <t>Visible bond cash-flow valuation below. Leases excluded; bridge retains its approved carrying-value proxy.</t>
  </si>
  <si>
    <t>Equity weight</t>
  </si>
  <si>
    <t>Market equity / (market equity + gross debt).</t>
  </si>
  <si>
    <t>Debt weight</t>
  </si>
  <si>
    <t>Do not use net debt or lease debt in this operating-lease WACC.</t>
  </si>
  <si>
    <t>Weighted opportunity cost to financial capital providers.</t>
  </si>
  <si>
    <t>Active base-case WACC</t>
  </si>
  <si>
    <t>Base WACC links to its component calculation; formula sensitivities do not overwrite this input.</t>
  </si>
  <si>
    <t>WACC sensitivity increment</t>
  </si>
  <si>
    <t>Independent range setting: ±2.0 percentage points in 0.5-point steps.</t>
  </si>
  <si>
    <t>Terminal-growth sensitivity increment</t>
  </si>
  <si>
    <t>Independent range setting: 1.0%–3.0% around 2.0%.</t>
  </si>
  <si>
    <t>Day-count basis</t>
  </si>
  <si>
    <t>Actual days / 365 for discount exponents.</t>
  </si>
  <si>
    <t>Pence per pound</t>
  </si>
  <si>
    <t>Unit conversion constant.</t>
  </si>
  <si>
    <t>FY2027 remaining-flow allocation adjustment</t>
  </si>
  <si>
    <t>Zero = time-proportion proxy. A 10pp shift is tested separately; not monthly seasonality data.</t>
  </si>
  <si>
    <t>FCFF from the existing operating model</t>
  </si>
  <si>
    <t>Fiscal year end</t>
  </si>
  <si>
    <t>Remaining share of annual FCFF</t>
  </si>
  <si>
    <t>Time to fiscal year end (years)</t>
  </si>
  <si>
    <t>Statutory operating profit</t>
  </si>
  <si>
    <t>Remove equity-accounted associate results</t>
  </si>
  <si>
    <t>Reverse ROU depreciation</t>
  </si>
  <si>
    <t>Deduct full lease cash payments</t>
  </si>
  <si>
    <t>Lease-adjusted consolidated EBIT</t>
  </si>
  <si>
    <t>Operating cash-tax proxy rate</t>
  </si>
  <si>
    <t>Cash taxes on operating profit</t>
  </si>
  <si>
    <t>NOPAT</t>
  </si>
  <si>
    <t>PP&amp;E D&amp;A / non-cash asset adjustments</t>
  </si>
  <si>
    <t>Intangible D&amp;A / non-cash asset adjustments</t>
  </si>
  <si>
    <t>Other asset non-cash adjustment</t>
  </si>
  <si>
    <t>Cash capex, net of asset sale proceeds</t>
  </si>
  <si>
    <t>Inventories and return assets</t>
  </si>
  <si>
    <t>Customer and operating receivables</t>
  </si>
  <si>
    <t>Operating payables (negative)</t>
  </si>
  <si>
    <t>Required operating cash</t>
  </si>
  <si>
    <t>Operating net working capital</t>
  </si>
  <si>
    <t>Opening operating net working capital</t>
  </si>
  <si>
    <t>Increase / (decrease) in operating NWC</t>
  </si>
  <si>
    <t>FCFF — full fiscal year</t>
  </si>
  <si>
    <t>FCFF included after valuation date</t>
  </si>
  <si>
    <t>Discount factor — year-end convention</t>
  </si>
  <si>
    <t>Present value of explicit FCFF</t>
  </si>
  <si>
    <t>SBC retained as an economic expense</t>
  </si>
  <si>
    <t>Interest income excluded from FCFF</t>
  </si>
  <si>
    <t>NCI net profit included in consolidation</t>
  </si>
  <si>
    <t>FCFF / revenue</t>
  </si>
  <si>
    <t>Operating EBIT margin after lease cash cost</t>
  </si>
  <si>
    <t>CFO-to-FCFF independent cross-check</t>
  </si>
  <si>
    <t>FCFF build difference</t>
  </si>
  <si>
    <t>Full lease cash cost replaces IFRS 16 ROU depreciation. Variable / short-term rents already in EBIT stay there. SBC is not added back; ESOT purchases and shareholder distributions are not separately deducted.</t>
  </si>
  <si>
    <t>Customer-credit receivables stay in operating NWC because NEXT Finance revenue remains in EBIT. Associate loans are excluded and valued separately. Net receivables are used, so bad-debt expense is not mechanically added back.</t>
  </si>
  <si>
    <t>FY2032–FY2036 transition — valuation drivers only</t>
  </si>
  <si>
    <t>Fiscal period</t>
  </si>
  <si>
    <t>Lease-adjusted EBIT margin</t>
  </si>
  <si>
    <t>Lease-adjusted EBIT</t>
  </si>
  <si>
    <t>Operating tax rate</t>
  </si>
  <si>
    <t>Incremental ROIC</t>
  </si>
  <si>
    <t>Reinvestment rate</t>
  </si>
  <si>
    <t>Total net reinvestment</t>
  </si>
  <si>
    <t>FCFF</t>
  </si>
  <si>
    <t>Time from valuation date (years)</t>
  </si>
  <si>
    <t>Discount factor</t>
  </si>
  <si>
    <t>Present value of transition FCFF</t>
  </si>
  <si>
    <t>PV transition subtotal</t>
  </si>
  <si>
    <t>Reinvestment = NOPAT × growth / incremental ROIC. This single deduction includes net fixed investment and working capital; do not also deduct CapEx or NWC, or add D&amp;A.</t>
  </si>
  <si>
    <t>Growth fade is an independent assumption. Annual end-period discounting starts one year after FY2031; 2% stable growth is reached in FY2036. The terminal value uses FY2037 cash flow.</t>
  </si>
  <si>
    <t>Normalised terminal value</t>
  </si>
  <si>
    <t>FY2031 adjusted EBIT</t>
  </si>
  <si>
    <t>Final explicit operating output, unchanged.</t>
  </si>
  <si>
    <t>FY2031 adjusted EBIT margin</t>
  </si>
  <si>
    <t>No additional perpetual margin expansion.</t>
  </si>
  <si>
    <t>Terminal tax rate</t>
  </si>
  <si>
    <t>Linked to the final forecast rate.</t>
  </si>
  <si>
    <t>Terminal return on new invested capital</t>
  </si>
  <si>
    <t>Independent normalisation assumption; sensitivity / judgement, not company guidance.</t>
  </si>
  <si>
    <t>Terminal perpetual growth</t>
  </si>
  <si>
    <t>V06. 2% nominal GBP growth; consistent with inflation-target scale and no perpetual real expansion.</t>
  </si>
  <si>
    <t>FY2037 terminal revenue</t>
  </si>
  <si>
    <t>First cash flow in terminal value; follows the FY2036 transition cash flow.</t>
  </si>
  <si>
    <t>Terminal EBIT</t>
  </si>
  <si>
    <t>Preserve the final lease-adjusted operating margin.</t>
  </si>
  <si>
    <t>Terminal NOPAT</t>
  </si>
  <si>
    <t>Required reinvestment rate</t>
  </si>
  <si>
    <t>Sustainable growth requires investment: g / return on new capital.</t>
  </si>
  <si>
    <t>Total terminal reinvestment</t>
  </si>
  <si>
    <t>Includes net fixed-asset investment and operating NWC.</t>
  </si>
  <si>
    <t>Normalised operating NWC / revenue</t>
  </si>
  <si>
    <t>Last three forecast-year ratios; avoids perpetuating a one-year release.</t>
  </si>
  <si>
    <t>Terminal NWC funding</t>
  </si>
  <si>
    <t>Funds growth in credit receivables, inventory and other operating balances.</t>
  </si>
  <si>
    <t>Terminal depreciation and amortisation</t>
  </si>
  <si>
    <t>D&amp;A scaled with revenue for the capex allocation diagnostic only; not an additional FCFF add-back.</t>
  </si>
  <si>
    <t>Terminal net fixed-asset investment</t>
  </si>
  <si>
    <t>Total reinvestment less NWC funding.</t>
  </si>
  <si>
    <t>Implied terminal cash capex</t>
  </si>
  <si>
    <t>Maintenance proxy plus growth investment, not capex = D&amp;A by default.</t>
  </si>
  <si>
    <t>Normalised terminal FCFF</t>
  </si>
  <si>
    <t>NOPAT less total reinvestment once. Capex / NWC allocation above is explanatory only.</t>
  </si>
  <si>
    <t>Gordon Growth terminal value</t>
  </si>
  <si>
    <t>Value at the end of FY2036, using FY2037 FCFF.</t>
  </si>
  <si>
    <t>Terminal discount factor</t>
  </si>
  <si>
    <t>Present value of terminal value</t>
  </si>
  <si>
    <t>PV explicit forecast FCFF</t>
  </si>
  <si>
    <t>Terminal value / enterprise value</t>
  </si>
  <si>
    <t>Review if above the independently set 80% diagnostic threshold.</t>
  </si>
  <si>
    <t>Terminal value concentration threshold</t>
  </si>
  <si>
    <t>Diagnostic threshold, not an accounting rule.</t>
  </si>
  <si>
    <t>Enterprise value to equity value</t>
  </si>
  <si>
    <t>Gross balance-sheet cash proxy</t>
  </si>
  <si>
    <t>V03, Jan 2026: use gross cash with debt including overdrafts.</t>
  </si>
  <si>
    <t>Cash and equivalents, net of overdrafts</t>
  </si>
  <si>
    <t>Definition cross-check only; not the cash added in the bridge.</t>
  </si>
  <si>
    <t>Overdraft included in gross debt</t>
  </si>
  <si>
    <t>£36m. Must not also net this out of gross cash.</t>
  </si>
  <si>
    <t>Gross financial borrowings</t>
  </si>
  <si>
    <t>Approved £808.9m carrying-value bridge proxy, including overdraft; separate from WACC market-debt estimate.</t>
  </si>
  <si>
    <t>Existing £100m minimum-cash assumption; independent, not company guidance.</t>
  </si>
  <si>
    <t>Surplus cash / (cash shortfall)</t>
  </si>
  <si>
    <t>Negative amount represents funding the assumed operating cash requirement.</t>
  </si>
  <si>
    <t>Associate / JV investment value proxy</t>
  </si>
  <si>
    <t>V03 note 13: carrying-value proxy; associate profit excluded from FCFF.</t>
  </si>
  <si>
    <t>Associate / JV loan value proxy</t>
  </si>
  <si>
    <t>V03 note 14: carrying-value proxy; loan interest excluded from FCFF.</t>
  </si>
  <si>
    <t>Reported pension asset</t>
  </si>
  <si>
    <t>V03 note 21. Does not establish cash available to shareholders.</t>
  </si>
  <si>
    <t>Pension surplus recovery assumption</t>
  </si>
  <si>
    <t>No assumed realisable surplus without supporting access / tax evidence.</t>
  </si>
  <si>
    <t>Pension value included</t>
  </si>
  <si>
    <t>Property provisions outside explicit FCFF</t>
  </si>
  <si>
    <t>V03 note 22. Existing exit obligations; flat model has no explicit settlement cash.</t>
  </si>
  <si>
    <t>After-tax provision deduction</t>
  </si>
  <si>
    <t>Valuation adjustment; assumes settlement is deductible. No change to operating model.</t>
  </si>
  <si>
    <t>Financing derivative liability</t>
  </si>
  <si>
    <t>V03 note 19. Interest-rate derivative; exclude operating FX/commodity hedges already associated with trading.</t>
  </si>
  <si>
    <t>NCI carrying amount proxy</t>
  </si>
  <si>
    <t>V03. Aggregate minority-interest value proxy, not an observed market price.</t>
  </si>
  <si>
    <t>Put / call liabilities over NCI</t>
  </si>
  <si>
    <t>V03 note 19. Some minority stakes, not an additional unrelated creditor.</t>
  </si>
  <si>
    <t>NCI inclusive-option claim proxy</t>
  </si>
  <si>
    <t>Use one aggregate claim with option-value floor. Do not deduct full NCI plus full puts; stake-level fair values remain unverified.</t>
  </si>
  <si>
    <t>Lease liability deduction</t>
  </si>
  <si>
    <t>Zero by methodology: lease cash payments are already in FCFF.</t>
  </si>
  <si>
    <t>Deferred tax / operating hedge deduction</t>
  </si>
  <si>
    <t>No blanket deduction: operating taxes and hedged costs represented in cash flows; tax timing remains approximate.</t>
  </si>
  <si>
    <t>Other non-operating adjustment</t>
  </si>
  <si>
    <t>Zero-event input; not a balancing entry. No equal-pay award quantified.</t>
  </si>
  <si>
    <t>Net EV-to-equity adjustments</t>
  </si>
  <si>
    <t>£m / million shares = £ per share.</t>
  </si>
  <si>
    <t>Conditional valuation, not investment advice.</t>
  </si>
  <si>
    <t>Required-cash funding impact per share</t>
  </si>
  <si>
    <t>Equity impact of funding the required operating cash, divided by diluted shares.</t>
  </si>
  <si>
    <t>Gross-debt less gross-cash proxy</t>
  </si>
  <si>
    <t>Correct gross / gross definition. Original Cover net-debt output is not used.</t>
  </si>
  <si>
    <t>Reported balance-sheet age (days)</t>
  </si>
  <si>
    <t>Refresh capital structure and ESOT with interim results; no invented September balance.</t>
  </si>
  <si>
    <t>Valuation checks</t>
  </si>
  <si>
    <t>Calculation checks</t>
  </si>
  <si>
    <t>Difference / diagnostic</t>
  </si>
  <si>
    <t>WACC exceeds terminal growth</t>
  </si>
  <si>
    <t>Debt and equity weights sum to one</t>
  </si>
  <si>
    <t>Active WACC equals calculated base</t>
  </si>
  <si>
    <t>FCFF independent CFO bridge</t>
  </si>
  <si>
    <t>Discount factors decline</t>
  </si>
  <si>
    <t>Terminal discounted at final-year factor</t>
  </si>
  <si>
    <t>Terminal reinvestment reconciles</t>
  </si>
  <si>
    <t>Terminal FCFF economic identity</t>
  </si>
  <si>
    <t>Enterprise-value bridge</t>
  </si>
  <si>
    <t>Equity-value bridge</t>
  </si>
  <si>
    <t>Per-share value identity</t>
  </si>
  <si>
    <t>Sensitivity centre matches DCF</t>
  </si>
  <si>
    <t>Higher WACC reduces value</t>
  </si>
  <si>
    <t>Higher growth increases value</t>
  </si>
  <si>
    <t>All sensitivity WACCs above growth</t>
  </si>
  <si>
    <t>Positive diluted-share denominator</t>
  </si>
  <si>
    <t>Overdraft counted once</t>
  </si>
  <si>
    <t>Leases excluded from debt bridge</t>
  </si>
  <si>
    <t>No separate full NCI and put deduction</t>
  </si>
  <si>
    <t>Terminal growth below new-capital return</t>
  </si>
  <si>
    <t>FY2027 stub in valid interval</t>
  </si>
  <si>
    <t>Existing forecast balance sheets reconcile</t>
  </si>
  <si>
    <t>Tax and capital-cost domains</t>
  </si>
  <si>
    <t>Pence / pounds conversion</t>
  </si>
  <si>
    <t>Terminal concentration review</t>
  </si>
  <si>
    <t>This is a valuation diagnostic, separate from calculation PASS.</t>
  </si>
  <si>
    <t>Current capital-structure evidence</t>
  </si>
  <si>
    <t>No claim that January balances equal September balances.</t>
  </si>
  <si>
    <t>Transition starts after FY2031</t>
  </si>
  <si>
    <t>Transition ends five years later</t>
  </si>
  <si>
    <t>Transition FCFF identity</t>
  </si>
  <si>
    <t>FY2037 NOPAT growth</t>
  </si>
  <si>
    <t>ROIC base matches valuation</t>
  </si>
  <si>
    <t>WACC debt pricing reconciles</t>
  </si>
  <si>
    <t>Bridge borrowing definition preserved</t>
  </si>
  <si>
    <t>Terminal CapEx allocation identity</t>
  </si>
  <si>
    <t>Transition factors decline</t>
  </si>
  <si>
    <t>ROIC sensitivity increases value</t>
  </si>
  <si>
    <t>Sources and valuation judgement register</t>
  </si>
  <si>
    <t>V01 — LSEG data via Investors Chronicle</t>
  </si>
  <si>
    <t>7 Sep 2026 16:35 BST. 15,500p price and beta 1.4076. Public beta methodology not specified; alternative providers differ. Observation, not management guidance.</t>
  </si>
  <si>
    <t>https://markets.investorschronicle.markitdigital.com/data/equities/tearsheet/historical?s=NXT:LSE</t>
  </si>
  <si>
    <t>V02 — NEXT RNS — total voting rights</t>
  </si>
  <si>
    <t>1 Sep 2026; shares at 28 Aug. 119,656,811 issued shares; no treasury shares. Latest disclosed current count is not a weighted-average EPS denominator.</t>
  </si>
  <si>
    <t>https://www.lse.co.uk/rns/total-voting-rights-lghbpteoxhbfu5o.html</t>
  </si>
  <si>
    <t>V03 — NEXT annual report, January 2026</t>
  </si>
  <si>
    <t>Published March 2026. Notes 9, 12–22, 27–32 support shares, lease / credit definitions, capital structure and proxies. Pages 20–22, 50–57 cover capex, tax, liquidity and returns.</t>
  </si>
  <si>
    <t>https://www.nextplc.co.uk/~/media/Files/N/next-plc-v4/about-next/annual-report-and-accounts-jan-2026.pdf</t>
  </si>
  <si>
    <t>V04 — Bank of England nominal spot curve</t>
  </si>
  <si>
    <t>7 Sep 2026: ten-year spot 5.177456938%, continuous. EXP(rate) − 1 = 5.313830613% annual effective. The 8 Sep cross-check does not change the valuation date.</t>
  </si>
  <si>
    <t>https://www.bankofengland.co.uk/statistics/yield-curves</t>
  </si>
  <si>
    <t>V05 — NYU Stern — Aswath Damodaran ERP</t>
  </si>
  <si>
    <t>1 Sep 2026. 4.14% implied US ERP plus disclosed 0.22% default adjustment = 4.36% mature-market ERP proxy. No additional country overlay assumed.</t>
  </si>
  <si>
    <t>https://pages.stern.nyu.edu/~adamodar/New_Home_Page/home.htm</t>
  </si>
  <si>
    <t>V06 — Bank of England — inflation target</t>
  </si>
  <si>
    <t>Accessed 8 Sep 2026. 2% inflation target is context for an independently assumed 2% perpetual nominal growth rate. It is not NEXT growth guidance.</t>
  </si>
  <si>
    <t>https://www.bankofengland.co.uk/faq/inflation-and-interest-rates</t>
  </si>
  <si>
    <t>V07 — NEXT Q2 trading statement</t>
  </si>
  <si>
    <t>5 Aug 2026. Group PBT £1,243m, full-price sales £6.0bn, Group sales £7.5bn, EPS 812.9p, returns £524m. Group sales differ from statutory revenue. No exceptional items anticipated.</t>
  </si>
  <si>
    <t>https://www.nextplc.co.uk/~/media/Files/N/next-plc-v4/documents/2026/trading-statement-august-26.pdf</t>
  </si>
  <si>
    <t>V08 — NEXT / Employment Appeal Tribunal update</t>
  </si>
  <si>
    <t>7 Sep 2026. New equal-pay appeal decision identified after the operating cutoff. No quantified cash award or operating uplift inserted into valuation. Legal uncertainty remains a qualitative limitation.</t>
  </si>
  <si>
    <t>https://www.gov.uk/employment-appeal-tribunal-decisions/1-next-retail-ltd-2-next-distribution-ltd-v-miss-m-thandi-and-others-2026-eat-130</t>
  </si>
  <si>
    <t>J01 — DCF methodology decisions</t>
  </si>
  <si>
    <t>Phase 2, 8 Sep 2026. Operating-lease FCFF; keep recurring SBC expense; exclude associate results and loan interest; normalise operating taxes. These are valuation adjustments, not corrections to the statements.</t>
  </si>
  <si>
    <t>J02 — Terminal reinvestment and discount timing</t>
  </si>
  <si>
    <t>Approved 10 Sep 2026: five-year growth fade 4%, 3.5%, 3%, 2.5%, 2%; constant FY2031 adjusted margin, 25% tax and 20% incremental ROIC. Reinvestment = NOPAT × growth / ROIC.</t>
  </si>
  <si>
    <t>J03 — Capital structure and valuation proxies</t>
  </si>
  <si>
    <t>January capital-structure proxies retained in the EV bridge. WACC uses separately estimated market debt. Minimum cash, pension recovery, associates, provisions, NCI and diluted shares are unchanged.</t>
  </si>
  <si>
    <t>J04 — Operating-model issues left unchanged</t>
  </si>
  <si>
    <t>Phase 2 review. Cover net debt double-counts £36m overdrafts. Dividend paid plan differs from illustrative 60/40 timing. Borrowing / refinancing and flat balance assumptions are forecast judgements, not current company commitments.</t>
  </si>
  <si>
    <t>J05 — Guidance and forecast reasonableness</t>
  </si>
  <si>
    <t>5 Aug 2026 operating cutoff. FY2027 statutory PBT £1,247.9m versus indicative statutory guidance bridge c.£1,239m, not Group PBT directly. FY2028–FY2031 are independent forecasts; capex is not all company-guided.</t>
  </si>
  <si>
    <t>Final approved DCF: five-year transition on this sheet; formula-driven WACC, terminal-growth and ROIC sensitivities. The five original worksheets are preserved unchanged.</t>
  </si>
  <si>
    <t>V09 — Beta triangulation</t>
  </si>
  <si>
    <t>Reviewed 8–10 Sep 2026. Equity beta 1.10 is judgement, not an observed regression. Fidelity five-year estimate c.1.04; Jan 2026 European specialty-retail screen relevers to c.1.14. Methods and peer mix differ.</t>
  </si>
  <si>
    <t>https://www.fidelity.co.uk/factsheet-data/factsheet/GB0032089863-next/key-statistics</t>
  </si>
  <si>
    <t>V09 — European peer screen</t>
  </si>
  <si>
    <t>Damodaran Jan 2026: unlever/cash-adjust/relever consistently with lease-inclusive peer debt to derive equity beta. WACC financial-debt weights then exclude leases because full lease cash is expensed in FCFF.</t>
  </si>
  <si>
    <t>https://pages.stern.nyu.edu/~adamodar/pc/datasets/betaEurope.xls</t>
  </si>
  <si>
    <t>V10 — Marginal debt spread</t>
  </si>
  <si>
    <t>Jan 2026 BBB spread proxy: 1.11%. Combined with dated GBP spot rate. Not a live NEXT yield; 2028 and 2031 bond cash flows priced separately below.</t>
  </si>
  <si>
    <t>https://pages.stern.nyu.edu/~adamodar/New_Home_Page/datafile/ratings.html</t>
  </si>
  <si>
    <t>J06 — Mature incremental ROIC</t>
  </si>
  <si>
    <t>20% after-tax return on new capital is provisional, not guidance. Historical sector returns near 21% do not prove perpetual incremental returns. 15% / 25% sensitivities change transition and terminal reinvestment.</t>
  </si>
  <si>
    <t>https://pages.stern.nyu.edu/~adamodar/pc/datasets/EVAEurope.xls</t>
  </si>
  <si>
    <t>V11 — External WACC benchmark, Berenberg</t>
  </si>
  <si>
    <t>9% reference is dated 7 February 2025, not March 2026. Its 15-year DCF and management premium are not imported into this valuation.</t>
  </si>
  <si>
    <t>https://companyresearch.digitallook.com/cgi-bin/dlmedia/security.cgi?csi=10261&amp;action=news&amp;story_id=34867281</t>
  </si>
  <si>
    <t>V12 — External WACC benchmark, Berenberg</t>
  </si>
  <si>
    <t>30 October 2025: 7.2% WACC, reduced from 8%. Public summary does not establish comparable CAPM inputs or lease definitions.</t>
  </si>
  <si>
    <t>https://www.lse.co.uk/news/berenberg-raises-target-price-on-next-7deceh4ool9ugr3.html</t>
  </si>
  <si>
    <t>V13 — External WACC benchmark, GuruFocus</t>
  </si>
  <si>
    <t>9.21% retrieved snapshot: 2 July 2026. Includes lease debt, fixed 6% ERP and historical interest/debt cost. Benchmark only; not averaged into the approved WACC.</t>
  </si>
  <si>
    <t>https://www.gurufocus.com/term/wacc/LSE%3ANXT</t>
  </si>
  <si>
    <t>WACC support — dated rate and financial-debt valuation</t>
  </si>
  <si>
    <t>Ten-year spot (continuous, 7 Sep 2026)</t>
  </si>
  <si>
    <t>2028 / 2031 bond principal (£m each)</t>
  </si>
  <si>
    <t>2028 bond coupon</t>
  </si>
  <si>
    <t>Near-maturity 2026 principal proxy</t>
  </si>
  <si>
    <t>2031 bond coupon</t>
  </si>
  <si>
    <t>Drawn RCF proxy</t>
  </si>
  <si>
    <t>Overdraft proxy</t>
  </si>
  <si>
    <t>Bond cash flow</t>
  </si>
  <si>
    <t>Date</t>
  </si>
  <si>
    <t>Years</t>
  </si>
  <si>
    <t>Spot (cont.)</t>
  </si>
  <si>
    <t>Rate + spread</t>
  </si>
  <si>
    <t>Cash flow</t>
  </si>
  <si>
    <t>PV</t>
  </si>
  <si>
    <t>2028 bond</t>
  </si>
  <si>
    <t>2028 bond repayment</t>
  </si>
  <si>
    <t>2031 bond</t>
  </si>
  <si>
    <t>Estimated market financial debt</t>
  </si>
  <si>
    <t>Bond dates/coupons: NEXT January 2026 annual report, notes 17/20. Spot inputs are interpolated from the 7 September BoE curve; spread is an independent rating proxy. Near-term/RCF/overdraft balances use par proxies.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</si>
</sst>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0;\(#,##0.0\);&quot;–&quot;"/>
    <numFmt numFmtId="165" formatCode="0.0%;\(0.0%\);&quot;–&quot;"/>
    <numFmt numFmtId="166" formatCode="0.00;\(0.00\);0.00"/>
    <numFmt numFmtId="167" formatCode="d\ mmmm\ yyyy"/>
    <numFmt numFmtId="168" formatCode="0.0\ &quot;days&quot;"/>
    <numFmt numFmtId="169" formatCode="[&gt;=0.005]0.00;[&lt;=-0.005]\(0.00\);0.00"/>
    <numFmt numFmtId="171" formatCode="d\ mmm\ yyyy"/>
    <numFmt numFmtId="172" formatCode="0.000"/>
    <numFmt numFmtId="173" formatCode="0.00\x"/>
    <numFmt numFmtId="174" formatCode="0.000\x"/>
    <numFmt numFmtId="175" formatCode="0.0000;\(0.0000\);0.0000"/>
    <numFmt numFmtId="176" formatCode="&quot;£&quot;#,##0.00;\(&quot;£&quot;#,##0.00\);&quot;–&quot;"/>
    <numFmt numFmtId="177" formatCode="0.00%;\(0.00%\);&quot;–&quot;"/>
    <numFmt numFmtId="178" formatCode="[&gt;=0.000001]0.00;[&lt;=-0.000001]\(0.00\);0.00"/>
    <numFmt numFmtId="179" formatCode="&quot;FY&quot;0&quot;E&quot;"/>
    <numFmt numFmtId="180" formatCode="0.000000;\(0.000000\);0.000000"/>
    <numFmt numFmtId="181" formatCode="0.0000%"/>
    <numFmt numFmtId="182" formatCode="0.000%"/>
    <numFmt numFmtId="183" formatCode="0.0000"/>
  </numFmts>
  <fonts count="26">
    <font>
      <sz val="11"/>
      <name val="Carlito"/>
    </font>
    <font>
      <sz val="10"/>
      <color rgb="FF111111"/>
      <name val="Arial"/>
      <family val="2"/>
    </font>
    <font>
      <b/>
      <sz val="16"/>
      <color rgb="FF21364B"/>
      <name val="Arial"/>
      <family val="2"/>
    </font>
    <font>
      <b/>
      <sz val="10"/>
      <color rgb="FFFFFFFF"/>
      <name val="Arial"/>
      <family val="2"/>
    </font>
    <font>
      <sz val="10"/>
      <color rgb="FF245F8F"/>
      <name val="Arial"/>
      <family val="2"/>
    </font>
    <font>
      <sz val="10"/>
      <color rgb="FF617080"/>
      <name val="Arial"/>
      <family val="2"/>
    </font>
    <font>
      <b/>
      <sz val="10"/>
      <color rgb="FF111111"/>
      <name val="Arial"/>
      <family val="2"/>
    </font>
    <font>
      <sz val="10"/>
      <name val="Arial"/>
      <family val="2"/>
    </font>
    <font>
      <b/>
      <sz val="10"/>
      <color rgb="FF0000FF"/>
      <name val="Arial"/>
      <family val="2"/>
    </font>
    <font>
      <sz val="10"/>
      <color rgb="FF0000FF"/>
      <name val="Arial"/>
      <family val="2"/>
    </font>
    <font>
      <sz val="10"/>
      <color rgb="FF008000"/>
      <name val="Arial"/>
      <family val="2"/>
    </font>
    <font>
      <b/>
      <sz val="10"/>
      <color rgb="FF008000"/>
      <name val="Arial"/>
      <family val="2"/>
    </font>
    <font>
      <sz val="11"/>
      <color rgb="FF111111"/>
      <name val="Carlito"/>
    </font>
    <font>
      <sz val="10"/>
      <color rgb="FF111111"/>
      <name val="Arial"/>
      <family val="2"/>
    </font>
    <font>
      <b/>
      <sz val="10"/>
      <color rgb="FF21364B"/>
      <name val="Arial"/>
      <family val="2"/>
    </font>
    <font>
      <sz val="9"/>
      <color rgb="FF617080"/>
      <name val="Arial"/>
      <family val="2"/>
    </font>
    <font>
      <sz val="11"/>
      <color rgb="FF000000"/>
      <name val="Carlito"/>
    </font>
    <font>
      <b/>
      <sz val="16"/>
      <color rgb="FF21364B"/>
      <name val="Arial"/>
      <family val="2"/>
    </font>
    <font>
      <b/>
      <sz val="10"/>
      <color rgb="FFFFFFFF"/>
      <name val="Arial"/>
      <family val="2"/>
    </font>
    <font>
      <sz val="10"/>
      <color rgb="FF0000FF"/>
      <name val="Arial"/>
      <family val="2"/>
    </font>
    <font>
      <sz val="10"/>
      <color rgb="FF008000"/>
      <name val="Arial"/>
      <family val="2"/>
    </font>
    <font>
      <b/>
      <sz val="10"/>
      <color rgb="FF21364B"/>
      <name val="Arial"/>
      <family val="2"/>
    </font>
    <font>
      <sz val="9"/>
      <color rgb="FF617080"/>
      <name val="Arial"/>
      <family val="2"/>
    </font>
    <font>
      <sz val="10"/>
      <color rgb="FF222222"/>
      <name val="Arial"/>
      <family val="2"/>
    </font>
    <font>
      <b/>
      <sz val="10"/>
      <color rgb="FF222222"/>
      <name val="Arial"/>
      <family val="2"/>
    </font>
    <font>
      <b/>
      <sz val="9"/>
      <color rgb="FF617080"/>
      <name val="Arial"/>
      <family val="2"/>
    </font>
  </fonts>
  <fills count="15">
    <fill>
      <patternFill patternType="none"/>
    </fill>
    <fill>
      <patternFill patternType="gray125"/>
    </fill>
    <fill>
      <patternFill patternType="solid">
        <fgColor rgb="FF21364B"/>
      </patternFill>
    </fill>
    <fill>
      <patternFill patternType="solid">
        <fgColor rgb="FFEFF4F8"/>
      </patternFill>
    </fill>
    <fill>
      <patternFill patternType="solid">
        <fgColor rgb="FFFFF3D7"/>
      </patternFill>
    </fill>
    <fill>
      <patternFill patternType="solid">
        <fgColor rgb="FF56697B"/>
      </patternFill>
    </fill>
    <fill>
      <patternFill patternType="solid">
        <fgColor rgb="FFFFFFFF"/>
      </patternFill>
    </fill>
    <fill>
      <patternFill patternType="solid">
        <fgColor rgb="FF21364B"/>
      </patternFill>
    </fill>
    <fill>
      <patternFill patternType="none"/>
    </fill>
    <fill>
      <patternFill patternType="none"/>
    </fill>
    <fill>
      <patternFill patternType="solid">
        <fgColor rgb="FF21364B"/>
      </patternFill>
    </fill>
    <fill>
      <patternFill patternType="solid">
        <fgColor rgb="FFFFF3D5"/>
      </patternFill>
    </fill>
    <fill>
      <patternFill patternType="solid">
        <fgColor rgb="FFEEF3F8"/>
      </patternFill>
    </fill>
    <fill>
      <patternFill patternType="solid">
        <fgColor rgb="FFDEEAF4"/>
      </patternFill>
    </fill>
    <fill>
      <patternFill patternType="solid">
        <fgColor rgb="FFFFFFFF"/>
      </patternFill>
    </fill>
  </fills>
  <borders count="10">
    <border>
      <left/>
      <right/>
      <top/>
      <bottom/>
      <diagonal/>
    </border>
    <border>
      <left/>
      <right/>
      <top style="thin">
        <color rgb="FFB7C3CD"/>
      </top>
      <bottom/>
      <diagonal/>
    </border>
    <border>
      <left/>
      <right/>
      <top/>
      <bottom style="thin">
        <color rgb="FFE1E6EB"/>
      </bottom>
      <diagonal/>
    </border>
    <border>
      <left/>
      <right/>
      <top/>
      <bottom/>
      <diagonal/>
    </border>
    <border>
      <left/>
      <right/>
      <top/>
      <bottom/>
      <diagonal/>
    </border>
    <border>
      <left style="thin">
        <color rgb="FF21364B"/>
      </left>
      <right style="thin">
        <color rgb="FF21364B"/>
      </right>
      <top style="thin">
        <color rgb="FF21364B"/>
      </top>
      <bottom/>
      <diagonal/>
    </border>
    <border>
      <left style="thin">
        <color rgb="FF21364B"/>
      </left>
      <right style="thin">
        <color rgb="FF21364B"/>
      </right>
      <top/>
      <bottom/>
      <diagonal/>
    </border>
    <border>
      <left style="thin">
        <color rgb="FF21364B"/>
      </left>
      <right style="thin">
        <color rgb="FF21364B"/>
      </right>
      <top/>
      <bottom style="thin">
        <color rgb="FF21364B"/>
      </bottom>
      <diagonal/>
    </border>
    <border>
      <left/>
      <right/>
      <top style="thin">
        <color rgb="FFBDC9D4"/>
      </top>
      <bottom/>
      <diagonal/>
    </border>
    <border>
      <left style="medium">
        <color rgb="FF21364B"/>
      </left>
      <right style="medium">
        <color rgb="FF21364B"/>
      </right>
      <top style="medium">
        <color rgb="FF21364B"/>
      </top>
      <bottom style="medium">
        <color rgb="FF21364B"/>
      </bottom>
      <diagonal/>
    </border>
  </borders>
  <cellStyleXfs count="3">
    <xf numFmtId="0" fontId="0" fillId="0" borderId="0"/>
    <xf numFmtId="0" fontId="22" fillId="8" borderId="3" xfId="0" applyFont="1" applyFill="1" applyBorder="1" applyAlignment="1">
      <alignment wrapText="1"/>
    </xf>
    <xf numFmtId="164" fontId="22" fillId="8" borderId="3" xfId="0" applyNumberFormat="1" applyFont="1" applyFill="1" applyBorder="1" applyAlignment="1">
      <alignment wrapText="1"/>
    </xf>
  </cellStyleXfs>
  <cellXfs count="131">
    <xf numFmtId="0" fontId="0" fillId="0" borderId="0" xfId="0"/>
    <xf numFmtId="0" fontId="22" fillId="8" borderId="3" xfId="1" applyFont="1" applyAlignment="1">
      <alignment wrapText="1"/>
    </xf>
    <xf numFmtId="0" fontId="1" fillId="0" borderId="0" xfId="0" applyFont="1" applyAlignment="1">
      <alignment vertical="center"/>
    </xf>
    <xf numFmtId="164" fontId="1" fillId="0" borderId="0" xfId="0" applyNumberFormat="1" applyFont="1" applyAlignment="1">
      <alignment vertical="center"/>
    </xf>
    <xf numFmtId="0" fontId="2" fillId="0" borderId="0" xfId="0" applyFont="1" applyAlignment="1">
      <alignment vertical="center"/>
    </xf>
    <xf numFmtId="164" fontId="2" fillId="0" borderId="0" xfId="0" applyNumberFormat="1" applyFont="1" applyAlignment="1">
      <alignment vertical="center"/>
    </xf>
    <xf numFmtId="0" fontId="3" fillId="2" borderId="0" xfId="0" applyFont="1" applyFill="1" applyAlignment="1">
      <alignment vertical="center"/>
    </xf>
    <xf numFmtId="164" fontId="3" fillId="2" borderId="0" xfId="0" applyNumberFormat="1" applyFont="1" applyFill="1" applyAlignment="1">
      <alignment vertical="center"/>
    </xf>
    <xf numFmtId="0" fontId="3" fillId="2" borderId="0" xfId="0" applyFont="1" applyFill="1" applyAlignment="1">
      <alignment horizontal="center" vertical="center"/>
    </xf>
    <xf numFmtId="164" fontId="3" fillId="2" borderId="0" xfId="0" applyNumberFormat="1" applyFont="1" applyFill="1" applyAlignment="1">
      <alignment horizontal="center" vertical="center"/>
    </xf>
    <xf numFmtId="0" fontId="4" fillId="0" borderId="0" xfId="0" applyFont="1" applyAlignment="1">
      <alignment vertical="center"/>
    </xf>
    <xf numFmtId="0" fontId="5" fillId="0" borderId="0" xfId="0" applyFont="1" applyAlignment="1">
      <alignment vertical="center"/>
    </xf>
    <xf numFmtId="165" fontId="1" fillId="0" borderId="0" xfId="0" applyNumberFormat="1" applyFont="1" applyAlignment="1">
      <alignment vertical="center"/>
    </xf>
    <xf numFmtId="0" fontId="6" fillId="0" borderId="1" xfId="0" applyFont="1" applyBorder="1" applyAlignment="1">
      <alignment vertical="center"/>
    </xf>
    <xf numFmtId="164" fontId="6" fillId="0" borderId="1" xfId="0" applyNumberFormat="1" applyFont="1" applyBorder="1" applyAlignment="1">
      <alignment vertical="center"/>
    </xf>
    <xf numFmtId="166" fontId="1" fillId="0" borderId="0" xfId="0" applyNumberFormat="1" applyFont="1" applyAlignment="1">
      <alignment vertical="center"/>
    </xf>
    <xf numFmtId="0" fontId="1" fillId="0" borderId="0" xfId="0" applyFont="1" applyAlignment="1">
      <alignment vertical="center" wrapText="1"/>
    </xf>
    <xf numFmtId="164" fontId="1" fillId="0" borderId="0" xfId="0" applyNumberFormat="1" applyFont="1" applyAlignment="1">
      <alignment vertical="center" wrapText="1"/>
    </xf>
    <xf numFmtId="0" fontId="1" fillId="0" borderId="0" xfId="0" applyFont="1" applyAlignment="1">
      <alignment vertical="top" wrapText="1"/>
    </xf>
    <xf numFmtId="164" fontId="1" fillId="0" borderId="0" xfId="0" applyNumberFormat="1" applyFont="1" applyAlignment="1">
      <alignment vertical="top" wrapText="1"/>
    </xf>
    <xf numFmtId="0" fontId="5" fillId="0" borderId="2" xfId="0" applyFont="1" applyBorder="1" applyAlignment="1">
      <alignment vertical="top" wrapText="1"/>
    </xf>
    <xf numFmtId="0" fontId="7" fillId="0" borderId="0" xfId="0" applyFont="1" applyAlignment="1">
      <alignment vertical="top" wrapText="1"/>
    </xf>
    <xf numFmtId="10" fontId="1" fillId="0" borderId="0" xfId="0" applyNumberFormat="1" applyFont="1" applyAlignment="1">
      <alignment vertical="center"/>
    </xf>
    <xf numFmtId="164" fontId="3" fillId="3" borderId="0" xfId="0" applyNumberFormat="1" applyFont="1" applyFill="1" applyAlignment="1">
      <alignment vertical="center"/>
    </xf>
    <xf numFmtId="164" fontId="1" fillId="3" borderId="0" xfId="0" applyNumberFormat="1" applyFont="1" applyFill="1" applyAlignment="1">
      <alignment vertical="center"/>
    </xf>
    <xf numFmtId="165" fontId="1" fillId="3" borderId="0" xfId="0" applyNumberFormat="1" applyFont="1" applyFill="1" applyAlignment="1">
      <alignment vertical="center"/>
    </xf>
    <xf numFmtId="164" fontId="6" fillId="3" borderId="1" xfId="0" applyNumberFormat="1" applyFont="1" applyFill="1" applyBorder="1" applyAlignment="1">
      <alignment vertical="center"/>
    </xf>
    <xf numFmtId="168" fontId="1" fillId="3" borderId="0" xfId="0" applyNumberFormat="1" applyFont="1" applyFill="1" applyAlignment="1">
      <alignment vertical="center"/>
    </xf>
    <xf numFmtId="164" fontId="9" fillId="0" borderId="0" xfId="0" applyNumberFormat="1" applyFont="1" applyAlignment="1">
      <alignment vertical="center"/>
    </xf>
    <xf numFmtId="164" fontId="9" fillId="4" borderId="0" xfId="0" applyNumberFormat="1" applyFont="1" applyFill="1" applyAlignment="1">
      <alignment vertical="center"/>
    </xf>
    <xf numFmtId="164" fontId="10" fillId="3" borderId="0" xfId="0" applyNumberFormat="1" applyFont="1" applyFill="1" applyAlignment="1">
      <alignment vertical="center"/>
    </xf>
    <xf numFmtId="164" fontId="11" fillId="3" borderId="1" xfId="0" applyNumberFormat="1" applyFont="1" applyFill="1" applyBorder="1" applyAlignment="1">
      <alignment vertical="center"/>
    </xf>
    <xf numFmtId="164" fontId="8" fillId="0" borderId="1" xfId="0" applyNumberFormat="1" applyFont="1" applyBorder="1" applyAlignment="1">
      <alignment vertical="center"/>
    </xf>
    <xf numFmtId="165" fontId="9" fillId="4" borderId="0" xfId="0" applyNumberFormat="1" applyFont="1" applyFill="1" applyAlignment="1">
      <alignment vertical="center"/>
    </xf>
    <xf numFmtId="10" fontId="9" fillId="4" borderId="0" xfId="0" applyNumberFormat="1" applyFont="1" applyFill="1" applyAlignment="1">
      <alignment vertical="center"/>
    </xf>
    <xf numFmtId="165" fontId="9" fillId="0" borderId="0" xfId="0" applyNumberFormat="1" applyFont="1" applyAlignment="1">
      <alignment vertical="center"/>
    </xf>
    <xf numFmtId="165" fontId="10" fillId="3" borderId="0" xfId="0" applyNumberFormat="1" applyFont="1" applyFill="1" applyAlignment="1">
      <alignment vertical="center"/>
    </xf>
    <xf numFmtId="168" fontId="9" fillId="0" borderId="0" xfId="0" applyNumberFormat="1" applyFont="1" applyAlignment="1">
      <alignment vertical="center"/>
    </xf>
    <xf numFmtId="168" fontId="10" fillId="3" borderId="0" xfId="0" applyNumberFormat="1" applyFont="1" applyFill="1" applyAlignment="1">
      <alignment vertical="center"/>
    </xf>
    <xf numFmtId="165" fontId="12" fillId="0" borderId="0" xfId="0" applyNumberFormat="1" applyFont="1"/>
    <xf numFmtId="164" fontId="3" fillId="5" borderId="0" xfId="0" applyNumberFormat="1" applyFont="1" applyFill="1" applyAlignment="1">
      <alignment horizontal="center" vertical="center"/>
    </xf>
    <xf numFmtId="0" fontId="3" fillId="2" borderId="0" xfId="0" applyFont="1" applyFill="1" applyAlignment="1">
      <alignment vertical="center" wrapText="1"/>
    </xf>
    <xf numFmtId="164" fontId="3" fillId="2" borderId="0" xfId="0" applyNumberFormat="1" applyFont="1" applyFill="1" applyAlignment="1">
      <alignment vertical="center" wrapText="1"/>
    </xf>
    <xf numFmtId="1" fontId="9" fillId="4" borderId="0" xfId="0" applyNumberFormat="1" applyFont="1" applyFill="1" applyAlignment="1">
      <alignment vertical="center"/>
    </xf>
    <xf numFmtId="0" fontId="13" fillId="6" borderId="0" xfId="0" applyFont="1" applyFill="1" applyAlignment="1">
      <alignment horizontal="left" vertical="center"/>
    </xf>
    <xf numFmtId="164" fontId="13" fillId="6" borderId="0" xfId="0" applyNumberFormat="1" applyFont="1" applyFill="1" applyAlignment="1">
      <alignment horizontal="left" vertical="center"/>
    </xf>
    <xf numFmtId="0" fontId="6" fillId="6" borderId="0" xfId="0" applyFont="1" applyFill="1" applyAlignment="1">
      <alignment horizontal="left" vertical="center"/>
    </xf>
    <xf numFmtId="0" fontId="14" fillId="6" borderId="0" xfId="0" applyFont="1" applyFill="1" applyAlignment="1">
      <alignment horizontal="center" vertical="center"/>
    </xf>
    <xf numFmtId="164" fontId="14" fillId="6" borderId="0" xfId="0" applyNumberFormat="1" applyFont="1" applyFill="1" applyAlignment="1">
      <alignment horizontal="center" vertical="center"/>
    </xf>
    <xf numFmtId="169" fontId="1" fillId="0" borderId="0" xfId="0" applyNumberFormat="1" applyFont="1" applyAlignment="1">
      <alignment vertical="center"/>
    </xf>
    <xf numFmtId="169" fontId="1" fillId="3" borderId="0" xfId="0" applyNumberFormat="1" applyFont="1" applyFill="1" applyAlignment="1">
      <alignment vertical="center"/>
    </xf>
    <xf numFmtId="10" fontId="10" fillId="3" borderId="0" xfId="0" applyNumberFormat="1" applyFont="1" applyFill="1" applyAlignment="1">
      <alignment vertical="center"/>
    </xf>
    <xf numFmtId="0" fontId="15" fillId="0" borderId="0" xfId="0" applyFont="1" applyAlignment="1">
      <alignment vertical="center" wrapText="1"/>
    </xf>
    <xf numFmtId="165" fontId="5" fillId="3" borderId="0" xfId="0" applyNumberFormat="1" applyFont="1" applyFill="1" applyAlignment="1">
      <alignment vertical="center"/>
    </xf>
    <xf numFmtId="164" fontId="5" fillId="3" borderId="0" xfId="0" applyNumberFormat="1" applyFont="1" applyFill="1" applyAlignment="1">
      <alignment vertical="center"/>
    </xf>
    <xf numFmtId="0" fontId="3" fillId="7" borderId="0" xfId="0" applyFont="1" applyFill="1" applyAlignment="1">
      <alignment vertical="center"/>
    </xf>
    <xf numFmtId="164" fontId="3" fillId="7" borderId="0" xfId="0" applyNumberFormat="1" applyFont="1" applyFill="1" applyAlignment="1">
      <alignment vertical="center"/>
    </xf>
    <xf numFmtId="0" fontId="3" fillId="7" borderId="0" xfId="0" applyFont="1" applyFill="1" applyAlignment="1">
      <alignment vertical="center" wrapText="1"/>
    </xf>
    <xf numFmtId="164" fontId="1" fillId="3" borderId="0" xfId="0" applyNumberFormat="1" applyFont="1" applyFill="1" applyAlignment="1">
      <alignment horizontal="center" vertical="center" wrapText="1"/>
    </xf>
    <xf numFmtId="164" fontId="23" fillId="9" borderId="4" xfId="2" applyNumberFormat="1" applyFont="1" applyAlignment="1">
      <alignment vertical="center"/>
    </xf>
    <xf numFmtId="0" fontId="18" fillId="10" borderId="3" xfId="1" applyFont="1" applyFill="1"/>
    <xf numFmtId="0" fontId="23" fillId="8" borderId="3" xfId="1" applyFont="1"/>
    <xf numFmtId="176" fontId="23" fillId="8" borderId="3" xfId="1" applyNumberFormat="1" applyFont="1"/>
    <xf numFmtId="165" fontId="19" fillId="11" borderId="3" xfId="1" applyNumberFormat="1" applyFont="1" applyFill="1"/>
    <xf numFmtId="165" fontId="23" fillId="8" borderId="3" xfId="1" applyNumberFormat="1" applyFont="1"/>
    <xf numFmtId="165" fontId="24" fillId="12" borderId="5" xfId="1" applyNumberFormat="1" applyFont="1" applyFill="1" applyBorder="1"/>
    <xf numFmtId="176" fontId="24" fillId="12" borderId="6" xfId="1" applyNumberFormat="1" applyFont="1" applyFill="1" applyBorder="1"/>
    <xf numFmtId="176" fontId="24" fillId="12" borderId="7" xfId="1" applyNumberFormat="1" applyFont="1" applyFill="1" applyBorder="1"/>
    <xf numFmtId="164" fontId="23" fillId="8" borderId="3" xfId="1" applyNumberFormat="1" applyFont="1"/>
    <xf numFmtId="164" fontId="23" fillId="11" borderId="3" xfId="1" applyNumberFormat="1" applyFont="1" applyFill="1"/>
    <xf numFmtId="164" fontId="19" fillId="11" borderId="3" xfId="1" applyNumberFormat="1" applyFont="1" applyFill="1"/>
    <xf numFmtId="172" fontId="23" fillId="8" borderId="3" xfId="1" applyNumberFormat="1" applyFont="1"/>
    <xf numFmtId="179" fontId="18" fillId="10" borderId="3" xfId="1" applyNumberFormat="1" applyFont="1" applyFill="1" applyAlignment="1">
      <alignment horizontal="center"/>
    </xf>
    <xf numFmtId="164" fontId="24" fillId="8" borderId="8" xfId="1" applyNumberFormat="1" applyFont="1" applyBorder="1"/>
    <xf numFmtId="180" fontId="23" fillId="8" borderId="3" xfId="1" applyNumberFormat="1" applyFont="1"/>
    <xf numFmtId="164" fontId="18" fillId="10" borderId="3" xfId="1" applyNumberFormat="1" applyFont="1" applyFill="1"/>
    <xf numFmtId="171" fontId="19" fillId="11" borderId="3" xfId="1" applyNumberFormat="1" applyFont="1" applyFill="1"/>
    <xf numFmtId="182" fontId="23" fillId="8" borderId="3" xfId="1" applyNumberFormat="1" applyFont="1"/>
    <xf numFmtId="1" fontId="23" fillId="8" borderId="3" xfId="1" applyNumberFormat="1" applyFont="1"/>
    <xf numFmtId="165" fontId="23" fillId="11" borderId="3" xfId="1" applyNumberFormat="1" applyFont="1" applyFill="1"/>
    <xf numFmtId="174" fontId="23" fillId="8" borderId="3" xfId="1" applyNumberFormat="1" applyFont="1"/>
    <xf numFmtId="178" fontId="23" fillId="8" borderId="3" xfId="1" applyNumberFormat="1" applyFont="1"/>
    <xf numFmtId="175" fontId="23" fillId="8" borderId="3" xfId="1" applyNumberFormat="1" applyFont="1"/>
    <xf numFmtId="181" fontId="23" fillId="11" borderId="3" xfId="1" applyNumberFormat="1" applyFont="1" applyFill="1"/>
    <xf numFmtId="182" fontId="23" fillId="11" borderId="3" xfId="1" applyNumberFormat="1" applyFont="1" applyFill="1"/>
    <xf numFmtId="171" fontId="23" fillId="11" borderId="3" xfId="1" applyNumberFormat="1" applyFont="1" applyFill="1"/>
    <xf numFmtId="4" fontId="19" fillId="11" borderId="3" xfId="1" applyNumberFormat="1" applyFont="1" applyFill="1"/>
    <xf numFmtId="172" fontId="19" fillId="11" borderId="3" xfId="1" applyNumberFormat="1" applyFont="1" applyFill="1"/>
    <xf numFmtId="177" fontId="19" fillId="11" borderId="3" xfId="1" applyNumberFormat="1" applyFont="1" applyFill="1"/>
    <xf numFmtId="173" fontId="19" fillId="11" borderId="3" xfId="1" applyNumberFormat="1" applyFont="1" applyFill="1"/>
    <xf numFmtId="177" fontId="20" fillId="8" borderId="3" xfId="1" applyNumberFormat="1" applyFont="1"/>
    <xf numFmtId="164" fontId="20" fillId="8" borderId="3" xfId="1" applyNumberFormat="1" applyFont="1"/>
    <xf numFmtId="1" fontId="19" fillId="11" borderId="3" xfId="1" applyNumberFormat="1" applyFont="1" applyFill="1"/>
    <xf numFmtId="165" fontId="20" fillId="8" borderId="3" xfId="1" applyNumberFormat="1" applyFont="1"/>
    <xf numFmtId="175" fontId="20" fillId="8" borderId="3" xfId="1" applyNumberFormat="1" applyFont="1"/>
    <xf numFmtId="164" fontId="17" fillId="8" borderId="3" xfId="1" applyNumberFormat="1" applyFont="1"/>
    <xf numFmtId="176" fontId="21" fillId="8" borderId="3" xfId="1" applyNumberFormat="1" applyFont="1"/>
    <xf numFmtId="165" fontId="21" fillId="8" borderId="3" xfId="1" applyNumberFormat="1" applyFont="1"/>
    <xf numFmtId="164" fontId="21" fillId="8" borderId="3" xfId="1" applyNumberFormat="1" applyFont="1"/>
    <xf numFmtId="177" fontId="21" fillId="8" borderId="3" xfId="1" applyNumberFormat="1" applyFont="1"/>
    <xf numFmtId="1" fontId="21" fillId="8" borderId="3" xfId="1" applyNumberFormat="1" applyFont="1"/>
    <xf numFmtId="176" fontId="18" fillId="10" borderId="3" xfId="1" applyNumberFormat="1" applyFont="1" applyFill="1" applyAlignment="1">
      <alignment horizontal="center"/>
    </xf>
    <xf numFmtId="177" fontId="18" fillId="10" borderId="3" xfId="1" applyNumberFormat="1" applyFont="1" applyFill="1" applyAlignment="1">
      <alignment horizontal="center"/>
    </xf>
    <xf numFmtId="177" fontId="21" fillId="12" borderId="3" xfId="1" applyNumberFormat="1" applyFont="1" applyFill="1" applyAlignment="1">
      <alignment horizontal="center"/>
    </xf>
    <xf numFmtId="176" fontId="24" fillId="13" borderId="9" xfId="1" applyNumberFormat="1" applyFont="1" applyFill="1" applyBorder="1"/>
    <xf numFmtId="164" fontId="18" fillId="10" borderId="3" xfId="1" applyNumberFormat="1" applyFont="1" applyFill="1" applyAlignment="1">
      <alignment horizontal="center"/>
    </xf>
    <xf numFmtId="0" fontId="24" fillId="8" borderId="8" xfId="1" applyFont="1" applyBorder="1"/>
    <xf numFmtId="176" fontId="24" fillId="8" borderId="8" xfId="1" applyNumberFormat="1" applyFont="1" applyBorder="1"/>
    <xf numFmtId="10" fontId="19" fillId="11" borderId="3" xfId="1" applyNumberFormat="1" applyFont="1" applyFill="1"/>
    <xf numFmtId="10" fontId="23" fillId="8" borderId="3" xfId="1" applyNumberFormat="1" applyFont="1"/>
    <xf numFmtId="183" fontId="23" fillId="8" borderId="3" xfId="1" applyNumberFormat="1" applyFont="1"/>
    <xf numFmtId="164" fontId="23" fillId="14" borderId="3" xfId="1" applyNumberFormat="1" applyFont="1" applyFill="1"/>
    <xf numFmtId="164" fontId="22" fillId="8" borderId="3" xfId="1" applyNumberFormat="1" applyFont="1" applyAlignment="1">
      <alignment wrapText="1"/>
    </xf>
    <xf numFmtId="164" fontId="25" fillId="8" borderId="8" xfId="1" applyNumberFormat="1" applyFont="1" applyBorder="1" applyAlignment="1">
      <alignment wrapText="1"/>
    </xf>
    <xf numFmtId="0" fontId="25" fillId="8" borderId="8" xfId="1" applyFont="1" applyBorder="1" applyAlignment="1">
      <alignment wrapText="1"/>
    </xf>
    <xf numFmtId="0" fontId="23" fillId="8" borderId="3" xfId="1" applyFont="1" applyAlignment="1">
      <alignment wrapText="1"/>
    </xf>
    <xf numFmtId="0" fontId="24" fillId="8" borderId="3" xfId="1" applyFont="1" applyAlignment="1">
      <alignment wrapText="1"/>
    </xf>
    <xf numFmtId="0" fontId="5" fillId="0" borderId="0" xfId="0" applyFont="1" applyAlignment="1">
      <alignment vertical="center" wrapText="1"/>
    </xf>
    <xf numFmtId="164" fontId="5" fillId="0" borderId="0" xfId="0" applyNumberFormat="1" applyFont="1" applyAlignment="1">
      <alignment vertical="center" wrapText="1"/>
    </xf>
    <xf numFmtId="164" fontId="13" fillId="6" borderId="0" xfId="0" applyNumberFormat="1" applyFont="1" applyFill="1" applyAlignment="1">
      <alignment horizontal="left" vertical="center"/>
    </xf>
    <xf numFmtId="164" fontId="6" fillId="6" borderId="0" xfId="0" applyNumberFormat="1" applyFont="1" applyFill="1" applyAlignment="1">
      <alignment horizontal="left" vertical="center"/>
    </xf>
    <xf numFmtId="167" fontId="13" fillId="6" borderId="0" xfId="0" applyNumberFormat="1" applyFont="1" applyFill="1" applyAlignment="1">
      <alignment horizontal="left" vertical="center"/>
    </xf>
    <xf numFmtId="164" fontId="5" fillId="3" borderId="0" xfId="0" applyNumberFormat="1" applyFont="1" applyFill="1" applyAlignment="1">
      <alignment vertical="center" wrapText="1"/>
    </xf>
    <xf numFmtId="0" fontId="5" fillId="0" borderId="2" xfId="0" applyFont="1" applyBorder="1" applyAlignment="1">
      <alignment vertical="top" wrapText="1"/>
    </xf>
    <xf numFmtId="0" fontId="7" fillId="0" borderId="0" xfId="0" applyFont="1" applyAlignment="1">
      <alignment vertical="top" wrapText="1"/>
    </xf>
    <xf numFmtId="0" fontId="4" fillId="0" borderId="0" xfId="0" applyFont="1" applyAlignment="1">
      <alignment vertical="top" wrapText="1"/>
    </xf>
    <xf numFmtId="164" fontId="5" fillId="0" borderId="2" xfId="0" applyNumberFormat="1" applyFont="1" applyBorder="1" applyAlignment="1">
      <alignment vertical="top" wrapText="1"/>
    </xf>
    <xf numFmtId="164" fontId="1" fillId="0" borderId="0" xfId="0" applyNumberFormat="1" applyFont="1" applyAlignment="1">
      <alignment vertical="top" wrapText="1"/>
    </xf>
    <xf numFmtId="164" fontId="4" fillId="0" borderId="0" xfId="0" applyNumberFormat="1" applyFont="1" applyAlignment="1">
      <alignment vertical="top" wrapText="1"/>
    </xf>
    <xf numFmtId="164" fontId="1" fillId="0" borderId="0" xfId="0" applyNumberFormat="1" applyFont="1" applyAlignment="1">
      <alignment vertical="center" wrapText="1"/>
    </xf>
    <xf numFmtId="164" fontId="3" fillId="2" borderId="0" xfId="0" applyNumberFormat="1" applyFont="1" applyFill="1" applyAlignment="1">
      <alignment vertical="center" wrapText="1"/>
    </xf>
  </cellXfs>
  <cellStyles count="1">
    <cellStyle name="Normal" xfId="0" builtinId="0"/>
  </cellStyles>
  <dxfs count="5">
    <dxf>
      <font>
        <b/>
        <color rgb="FFB3261E"/>
      </font>
      <fill>
        <patternFill patternType="solid">
          <bgColor rgb="FFFCE8E6"/>
        </patternFill>
      </fill>
    </dxf>
    <dxf>
      <font>
        <b/>
        <color rgb="FFB3261E"/>
      </font>
      <fill>
        <patternFill patternType="solid">
          <bgColor rgb="FFFCE8E6"/>
        </patternFill>
      </fill>
    </dxf>
    <dxf>
      <font>
        <b/>
        <color rgb="FF9C0006"/>
      </font>
      <fill>
        <patternFill>
          <bgColor rgb="FFFCE4D6"/>
        </patternFill>
      </fill>
    </dxf>
    <dxf>
      <font>
        <b/>
        <color rgb="FF8D5800"/>
      </font>
      <fill>
        <patternFill>
          <bgColor rgb="FFFFF3D7"/>
        </patternFill>
      </fill>
    </dxf>
    <dxf>
      <font>
        <b/>
        <color rgb="FFB00020"/>
      </font>
      <fill>
        <patternFill>
          <bgColor rgb="FFFC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sz="975">
                <a:latin typeface="Arial"/>
                <a:ea typeface="Arial"/>
                <a:cs typeface="Arial"/>
              </a:rPr>
              <a:t>Operating and PBT margins</a:t>
            </a:r>
          </a:p>
        </c:rich>
      </c:tx>
      <c:overlay val="0"/>
    </c:title>
    <c:autoTitleDeleted val="0"/>
    <c:plotArea>
      <c:layout/>
      <c:lineChart>
        <c:grouping val="standard"/>
        <c:varyColors val="0"/>
        <c:ser>
          <c:idx val="0"/>
          <c:order val="0"/>
          <c:tx>
            <c:v>Operating margin</c:v>
          </c:tx>
          <c:spPr>
            <a:ln w="19050">
              <a:solidFill>
                <a:srgbClr val="21364B"/>
              </a:solidFill>
              <a:prstDash val="solid"/>
            </a:ln>
          </c:spPr>
          <c:marker>
            <c:symbol val="none"/>
          </c:marker>
          <c:cat>
            <c:strRef>
              <c:f>'00 Cover'!$N$45:$N$53</c:f>
              <c:strCache>
                <c:ptCount val="9"/>
                <c:pt idx="0">
                  <c:v>FY2023A</c:v>
                </c:pt>
                <c:pt idx="1">
                  <c:v>FY2024A</c:v>
                </c:pt>
                <c:pt idx="2">
                  <c:v>FY2025A</c:v>
                </c:pt>
                <c:pt idx="3">
                  <c:v>FY2026A</c:v>
                </c:pt>
                <c:pt idx="4">
                  <c:v>FY2027E</c:v>
                </c:pt>
                <c:pt idx="5">
                  <c:v>FY2028E</c:v>
                </c:pt>
                <c:pt idx="6">
                  <c:v>FY2029E</c:v>
                </c:pt>
                <c:pt idx="7">
                  <c:v>FY2030E</c:v>
                </c:pt>
                <c:pt idx="8">
                  <c:v>FY2031E</c:v>
                </c:pt>
              </c:strCache>
            </c:strRef>
          </c:cat>
          <c:val>
            <c:numRef>
              <c:f>'00 Cover'!$O$45:$O$53</c:f>
              <c:numCache>
                <c:formatCode>0.0%;\(0.0%\);"–"</c:formatCode>
                <c:ptCount val="9"/>
                <c:pt idx="0">
                  <c:v>0.18702820818434648</c:v>
                </c:pt>
                <c:pt idx="1">
                  <c:v>0.17991258422873793</c:v>
                </c:pt>
                <c:pt idx="2">
                  <c:v>0.17577352446020827</c:v>
                </c:pt>
                <c:pt idx="3">
                  <c:v>0.18529842203642793</c:v>
                </c:pt>
                <c:pt idx="4">
                  <c:v>0.18334838618749855</c:v>
                </c:pt>
                <c:pt idx="5">
                  <c:v>0.18437695183519906</c:v>
                </c:pt>
                <c:pt idx="6">
                  <c:v>0.18490002834939054</c:v>
                </c:pt>
                <c:pt idx="7">
                  <c:v>0.18491761045544122</c:v>
                </c:pt>
                <c:pt idx="8">
                  <c:v>0.18542966835911232</c:v>
                </c:pt>
              </c:numCache>
            </c:numRef>
          </c:val>
          <c:smooth val="0"/>
          <c:extLst>
            <c:ext xmlns:c16="http://schemas.microsoft.com/office/drawing/2014/chart" uri="{C3380CC4-5D6E-409C-BE32-E72D297353CC}">
              <c16:uniqueId val="{00000000-A2D6-A445-90A4-FD32683471FC}"/>
            </c:ext>
          </c:extLst>
        </c:ser>
        <c:ser>
          <c:idx val="1"/>
          <c:order val="1"/>
          <c:tx>
            <c:v>PBT margin</c:v>
          </c:tx>
          <c:spPr>
            <a:ln w="19050">
              <a:solidFill>
                <a:srgbClr val="8192A3"/>
              </a:solidFill>
              <a:prstDash val="solid"/>
            </a:ln>
          </c:spPr>
          <c:marker>
            <c:symbol val="none"/>
          </c:marker>
          <c:cat>
            <c:strRef>
              <c:f>'00 Cover'!$N$45:$N$53</c:f>
              <c:strCache>
                <c:ptCount val="9"/>
                <c:pt idx="0">
                  <c:v>FY2023A</c:v>
                </c:pt>
                <c:pt idx="1">
                  <c:v>FY2024A</c:v>
                </c:pt>
                <c:pt idx="2">
                  <c:v>FY2025A</c:v>
                </c:pt>
                <c:pt idx="3">
                  <c:v>FY2026A</c:v>
                </c:pt>
                <c:pt idx="4">
                  <c:v>FY2027E</c:v>
                </c:pt>
                <c:pt idx="5">
                  <c:v>FY2028E</c:v>
                </c:pt>
                <c:pt idx="6">
                  <c:v>FY2029E</c:v>
                </c:pt>
                <c:pt idx="7">
                  <c:v>FY2030E</c:v>
                </c:pt>
                <c:pt idx="8">
                  <c:v>FY2031E</c:v>
                </c:pt>
              </c:strCache>
            </c:strRef>
          </c:cat>
          <c:val>
            <c:numRef>
              <c:f>'00 Cover'!$P$45:$P$53</c:f>
              <c:numCache>
                <c:formatCode>0.0%;\(0.0%\);"–"</c:formatCode>
                <c:ptCount val="9"/>
                <c:pt idx="0">
                  <c:v>0.17268573698847842</c:v>
                </c:pt>
                <c:pt idx="1">
                  <c:v>0.18499362593334548</c:v>
                </c:pt>
                <c:pt idx="2">
                  <c:v>0.16132459423677289</c:v>
                </c:pt>
                <c:pt idx="3">
                  <c:v>0.17280802167707535</c:v>
                </c:pt>
                <c:pt idx="4">
                  <c:v>0.17175806697505039</c:v>
                </c:pt>
                <c:pt idx="5">
                  <c:v>0.17445064869088914</c:v>
                </c:pt>
                <c:pt idx="6">
                  <c:v>0.17563424056793231</c:v>
                </c:pt>
                <c:pt idx="7">
                  <c:v>0.17633022384827424</c:v>
                </c:pt>
                <c:pt idx="8">
                  <c:v>0.17743493476139235</c:v>
                </c:pt>
              </c:numCache>
            </c:numRef>
          </c:val>
          <c:smooth val="0"/>
          <c:extLst>
            <c:ext xmlns:c16="http://schemas.microsoft.com/office/drawing/2014/chart" uri="{C3380CC4-5D6E-409C-BE32-E72D297353CC}">
              <c16:uniqueId val="{00000001-A2D6-A445-90A4-FD32683471F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legend>
      <c:legendPos val="b"/>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43</xdr:row>
      <xdr:rowOff>0</xdr:rowOff>
    </xdr:from>
    <xdr:to>
      <xdr:col>12</xdr:col>
      <xdr:colOff>0</xdr:colOff>
      <xdr:row>58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431800</xdr:colOff>
      <xdr:row>48</xdr:row>
      <xdr:rowOff>25400</xdr:rowOff>
    </xdr:to>
    <xdr:sp macro="" textlink="">
      <xdr:nvSpPr>
        <xdr:cNvPr id="2065" name="Text Box 17" hidden="1">
          <a:extLst>
            <a:ext uri="{FF2B5EF4-FFF2-40B4-BE49-F238E27FC236}">
              <a16:creationId xmlns:a16="http://schemas.microsoft.com/office/drawing/2014/main" id="{26D2594A-0A9E-9237-433B-2824B38560D4}"/>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431800</xdr:colOff>
      <xdr:row>48</xdr:row>
      <xdr:rowOff>25400</xdr:rowOff>
    </xdr:to>
    <xdr:sp macro="" textlink="">
      <xdr:nvSpPr>
        <xdr:cNvPr id="2" name="AutoShape 17">
          <a:extLst>
            <a:ext uri="{FF2B5EF4-FFF2-40B4-BE49-F238E27FC236}">
              <a16:creationId xmlns:a16="http://schemas.microsoft.com/office/drawing/2014/main" id="{16EB94DE-AE79-BB16-A80F-FD5904E604E9}"/>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431800</xdr:colOff>
      <xdr:row>41</xdr:row>
      <xdr:rowOff>25400</xdr:rowOff>
    </xdr:to>
    <xdr:sp macro="" textlink="">
      <xdr:nvSpPr>
        <xdr:cNvPr id="3163" name="Text Box 91" hidden="1">
          <a:extLst>
            <a:ext uri="{FF2B5EF4-FFF2-40B4-BE49-F238E27FC236}">
              <a16:creationId xmlns:a16="http://schemas.microsoft.com/office/drawing/2014/main" id="{0B8B4F4F-962E-C084-8B2F-124D04E19252}"/>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431800</xdr:colOff>
      <xdr:row>41</xdr:row>
      <xdr:rowOff>25400</xdr:rowOff>
    </xdr:to>
    <xdr:sp macro="" textlink="">
      <xdr:nvSpPr>
        <xdr:cNvPr id="2" name="AutoShape 91">
          <a:extLst>
            <a:ext uri="{FF2B5EF4-FFF2-40B4-BE49-F238E27FC236}">
              <a16:creationId xmlns:a16="http://schemas.microsoft.com/office/drawing/2014/main" id="{CE563DC3-09CB-6679-66BE-22E3E2C92A3E}"/>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1574800</xdr:colOff>
      <xdr:row>34</xdr:row>
      <xdr:rowOff>88900</xdr:rowOff>
    </xdr:to>
    <xdr:sp macro="" textlink="">
      <xdr:nvSpPr>
        <xdr:cNvPr id="4254" name="Text Box 158" hidden="1">
          <a:extLst>
            <a:ext uri="{FF2B5EF4-FFF2-40B4-BE49-F238E27FC236}">
              <a16:creationId xmlns:a16="http://schemas.microsoft.com/office/drawing/2014/main" id="{1F7C8A51-9FE6-24C0-DD71-0034F36D970F}"/>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1574800</xdr:colOff>
      <xdr:row>34</xdr:row>
      <xdr:rowOff>88900</xdr:rowOff>
    </xdr:to>
    <xdr:sp macro="" textlink="">
      <xdr:nvSpPr>
        <xdr:cNvPr id="2" name="AutoShape 158">
          <a:extLst>
            <a:ext uri="{FF2B5EF4-FFF2-40B4-BE49-F238E27FC236}">
              <a16:creationId xmlns:a16="http://schemas.microsoft.com/office/drawing/2014/main" id="{1E6841D8-DCF0-C2B3-1F20-E1353AE7C236}"/>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nextplc.co.uk/~/media/Files/N/next-plc-v4/about-next/annual-report-and-accounts-jan-2026.pdf" TargetMode="External"/><Relationship Id="rId21" Type="http://schemas.openxmlformats.org/officeDocument/2006/relationships/hyperlink" Target="https://www.nextplc.co.uk/~/media/Files/N/Next-PLC-V2/documents/2024/annual-report-and-accounts-jan-2024.pdf" TargetMode="External"/><Relationship Id="rId42" Type="http://schemas.openxmlformats.org/officeDocument/2006/relationships/hyperlink" Target="https://www.nextplc.co.uk/~/media/Files/N/Next-PLC-V2/documents/2024/annual-report-and-accounts-jan-2024.pdf" TargetMode="External"/><Relationship Id="rId63" Type="http://schemas.openxmlformats.org/officeDocument/2006/relationships/hyperlink" Target="https://www.nextplc.co.uk/~/media/Files/N/Next-PLC-V2/documents/2024/annual-report-and-accounts-jan-2024.pdf" TargetMode="External"/><Relationship Id="rId84" Type="http://schemas.openxmlformats.org/officeDocument/2006/relationships/hyperlink" Target="https://www.nextplc.co.uk/~/media/Files/N/Next-PLC-V2/documents/2024/annual-report-and-accounts-jan-2024.pdf" TargetMode="External"/><Relationship Id="rId138" Type="http://schemas.openxmlformats.org/officeDocument/2006/relationships/hyperlink" Target="https://www.nextplc.co.uk/~/media/Files/N/next-plc-v4/documents/2026/year-end-results-january2026.pdf" TargetMode="External"/><Relationship Id="rId159" Type="http://schemas.openxmlformats.org/officeDocument/2006/relationships/vmlDrawing" Target="../drawings/vmlDrawing3.vml"/><Relationship Id="rId107" Type="http://schemas.openxmlformats.org/officeDocument/2006/relationships/hyperlink" Target="https://www.nextplc.co.uk/~/media/Files/N/Next-PLC-V2/documents/2024/annual-report-and-accounts-jan-2024.pdf" TargetMode="External"/><Relationship Id="rId11" Type="http://schemas.openxmlformats.org/officeDocument/2006/relationships/hyperlink" Target="https://www.nextplc.co.uk/~/media/Files/N/Next-PLC-V2/documents/2024/annual-report-and-accounts-jan-2024.pdf" TargetMode="External"/><Relationship Id="rId32" Type="http://schemas.openxmlformats.org/officeDocument/2006/relationships/hyperlink" Target="https://www.nextplc.co.uk/~/media/Files/N/Next-PLC-V2/documents/2024/annual-report-and-accounts-jan-2024.pdf" TargetMode="External"/><Relationship Id="rId53" Type="http://schemas.openxmlformats.org/officeDocument/2006/relationships/hyperlink" Target="https://www.nextplc.co.uk/~/media/Files/N/Next-PLC-V2/documents/2024/annual-report-and-accounts-jan-2024.pdf" TargetMode="External"/><Relationship Id="rId74" Type="http://schemas.openxmlformats.org/officeDocument/2006/relationships/hyperlink" Target="https://www.nextplc.co.uk/~/media/Files/N/Next-PLC-V2/documents/2024/annual-report-and-accounts-jan-2024.pdf" TargetMode="External"/><Relationship Id="rId128" Type="http://schemas.openxmlformats.org/officeDocument/2006/relationships/hyperlink" Target="https://www.nextplc.co.uk/~/media/Files/N/Next-PLC-V2/documents/2024/annual-report-and-accounts-jan-2024.pdf" TargetMode="External"/><Relationship Id="rId149" Type="http://schemas.openxmlformats.org/officeDocument/2006/relationships/hyperlink" Target="https://www.nextplc.co.uk/investors/reports-and-presentations/2026-27" TargetMode="External"/><Relationship Id="rId5" Type="http://schemas.openxmlformats.org/officeDocument/2006/relationships/hyperlink" Target="https://www.nextplc.co.uk/~/media/Files/N/Next-PLC-V2/documents/2024/annual-report-and-accounts-jan-2024.pdf" TargetMode="External"/><Relationship Id="rId95" Type="http://schemas.openxmlformats.org/officeDocument/2006/relationships/hyperlink" Target="https://www.nextplc.co.uk/~/media/Files/N/Next-PLC-V2/documents/2024/annual-report-and-accounts-jan-2024.pdf" TargetMode="External"/><Relationship Id="rId160" Type="http://schemas.openxmlformats.org/officeDocument/2006/relationships/comments" Target="../comments3.xml"/><Relationship Id="rId22" Type="http://schemas.openxmlformats.org/officeDocument/2006/relationships/hyperlink" Target="https://www.nextplc.co.uk/~/media/Files/N/Next-PLC-V2/documents/2024/annual-report-and-accounts-jan-2024.pdf" TargetMode="External"/><Relationship Id="rId43" Type="http://schemas.openxmlformats.org/officeDocument/2006/relationships/hyperlink" Target="https://www.nextplc.co.uk/~/media/Files/N/Next-PLC-V2/documents/2024/annual-report-and-accounts-jan-2024.pdf" TargetMode="External"/><Relationship Id="rId64" Type="http://schemas.openxmlformats.org/officeDocument/2006/relationships/hyperlink" Target="https://www.nextplc.co.uk/~/media/Files/N/Next-PLC-V2/documents/2024/annual-report-and-accounts-jan-2024.pdf" TargetMode="External"/><Relationship Id="rId118" Type="http://schemas.openxmlformats.org/officeDocument/2006/relationships/hyperlink" Target="https://www.nextplc.co.uk/~/media/Files/N/next-plc-v4/about-next/annual-report-and-accounts-jan-2026.pdf" TargetMode="External"/><Relationship Id="rId139" Type="http://schemas.openxmlformats.org/officeDocument/2006/relationships/hyperlink" Target="https://www.nextplc.co.uk/~/media/Files/N/Next-PLC-V2/documents/2024/annual-report-and-accounts-jan-2024.pdf" TargetMode="External"/><Relationship Id="rId80" Type="http://schemas.openxmlformats.org/officeDocument/2006/relationships/hyperlink" Target="https://www.nextplc.co.uk/~/media/Files/N/Next-PLC-V2/documents/2024/annual-report-and-accounts-jan-2024.pdf" TargetMode="External"/><Relationship Id="rId85" Type="http://schemas.openxmlformats.org/officeDocument/2006/relationships/hyperlink" Target="https://www.nextplc.co.uk/~/media/Files/N/Next-PLC-V2/documents/2024/annual-report-and-accounts-jan-2024.pdf" TargetMode="External"/><Relationship Id="rId150" Type="http://schemas.openxmlformats.org/officeDocument/2006/relationships/hyperlink" Target="https://www.nextplc.co.uk/~/media/Files/N/next-plc-v4/about-next/annual-report-and-accounts-jan-2024.pdf" TargetMode="External"/><Relationship Id="rId155" Type="http://schemas.openxmlformats.org/officeDocument/2006/relationships/hyperlink" Target="https://www.nextplc.co.uk/investors/shareholder-information/debt-investor-information" TargetMode="External"/><Relationship Id="rId12" Type="http://schemas.openxmlformats.org/officeDocument/2006/relationships/hyperlink" Target="https://www.nextplc.co.uk/~/media/Files/N/Next-PLC-V2/documents/2024/annual-report-and-accounts-jan-2024.pdf" TargetMode="External"/><Relationship Id="rId17" Type="http://schemas.openxmlformats.org/officeDocument/2006/relationships/hyperlink" Target="https://www.nextplc.co.uk/~/media/Files/N/Next-PLC-V2/documents/2024/annual-report-and-accounts-jan-2024.pdf" TargetMode="External"/><Relationship Id="rId33" Type="http://schemas.openxmlformats.org/officeDocument/2006/relationships/hyperlink" Target="https://www.nextplc.co.uk/~/media/Files/N/Next-PLC-V2/documents/2024/annual-report-and-accounts-jan-2024.pdf" TargetMode="External"/><Relationship Id="rId38" Type="http://schemas.openxmlformats.org/officeDocument/2006/relationships/hyperlink" Target="https://www.nextplc.co.uk/~/media/Files/N/Next-PLC-V2/documents/2024/annual-report-and-accounts-jan-2024.pdf" TargetMode="External"/><Relationship Id="rId59" Type="http://schemas.openxmlformats.org/officeDocument/2006/relationships/hyperlink" Target="https://www.nextplc.co.uk/~/media/Files/N/Next-PLC-V2/documents/2024/annual-report-and-accounts-jan-2024.pdf" TargetMode="External"/><Relationship Id="rId103" Type="http://schemas.openxmlformats.org/officeDocument/2006/relationships/hyperlink" Target="https://www.nextplc.co.uk/~/media/Files/N/Next-PLC-V2/documents/2024/annual-report-and-accounts-jan-2024.pdf" TargetMode="External"/><Relationship Id="rId108" Type="http://schemas.openxmlformats.org/officeDocument/2006/relationships/hyperlink" Target="https://www.nextplc.co.uk/~/media/Files/N/Next-PLC-V2/documents/2024/annual-report-and-accounts-jan-2024.pdf" TargetMode="External"/><Relationship Id="rId124" Type="http://schemas.openxmlformats.org/officeDocument/2006/relationships/hyperlink" Target="https://www.nextplc.co.uk/~/media/Files/N/next-plc-v4/about-next/annual-report-and-accounts-jan-2026.pdf" TargetMode="External"/><Relationship Id="rId129" Type="http://schemas.openxmlformats.org/officeDocument/2006/relationships/hyperlink" Target="https://www.nextplc.co.uk/~/media/Files/N/next-plc-v4/about-next/annual-report-and-accounts-jan-2026.pdf" TargetMode="External"/><Relationship Id="rId54" Type="http://schemas.openxmlformats.org/officeDocument/2006/relationships/hyperlink" Target="https://www.nextplc.co.uk/~/media/Files/N/Next-PLC-V2/documents/2024/annual-report-and-accounts-jan-2024.pdf" TargetMode="External"/><Relationship Id="rId70" Type="http://schemas.openxmlformats.org/officeDocument/2006/relationships/hyperlink" Target="https://www.nextplc.co.uk/~/media/Files/N/Next-PLC-V2/documents/2024/annual-report-and-accounts-jan-2024.pdf" TargetMode="External"/><Relationship Id="rId75" Type="http://schemas.openxmlformats.org/officeDocument/2006/relationships/hyperlink" Target="https://www.nextplc.co.uk/~/media/Files/N/Next-PLC-V2/documents/2024/annual-report-and-accounts-jan-2024.pdf" TargetMode="External"/><Relationship Id="rId91" Type="http://schemas.openxmlformats.org/officeDocument/2006/relationships/hyperlink" Target="https://www.nextplc.co.uk/~/media/Files/N/Next-PLC-V2/documents/2024/annual-report-and-accounts-jan-2024.pdf" TargetMode="External"/><Relationship Id="rId96" Type="http://schemas.openxmlformats.org/officeDocument/2006/relationships/hyperlink" Target="https://www.nextplc.co.uk/~/media/Files/N/Next-PLC-V2/documents/2024/annual-report-and-accounts-jan-2024.pdf" TargetMode="External"/><Relationship Id="rId140" Type="http://schemas.openxmlformats.org/officeDocument/2006/relationships/hyperlink" Target="https://www.nextplc.co.uk/~/media/Files/N/next-plc-v4/about-next/annual-report-and-accounts-jan-2025.pdf" TargetMode="External"/><Relationship Id="rId145" Type="http://schemas.openxmlformats.org/officeDocument/2006/relationships/hyperlink" Target="https://www.nextplc.co.uk/~/media/Files/N/Next-PLC-V2/documents/2024/annual-report-and-accounts-jan-2024.pdf" TargetMode="External"/><Relationship Id="rId1" Type="http://schemas.openxmlformats.org/officeDocument/2006/relationships/hyperlink" Target="https://www.nextplc.co.uk/~/media/Files/N/Next-PLC-V2/documents/2024/annual-report-and-accounts-jan-2024.pdf" TargetMode="External"/><Relationship Id="rId6" Type="http://schemas.openxmlformats.org/officeDocument/2006/relationships/hyperlink" Target="https://www.nextplc.co.uk/~/media/Files/N/Next-PLC-V2/documents/2024/annual-report-and-accounts-jan-2024.pdf" TargetMode="External"/><Relationship Id="rId23" Type="http://schemas.openxmlformats.org/officeDocument/2006/relationships/hyperlink" Target="https://www.nextplc.co.uk/~/media/Files/N/Next-PLC-V2/documents/2024/annual-report-and-accounts-jan-2024.pdf" TargetMode="External"/><Relationship Id="rId28" Type="http://schemas.openxmlformats.org/officeDocument/2006/relationships/hyperlink" Target="https://www.nextplc.co.uk/~/media/Files/N/Next-PLC-V2/documents/2024/annual-report-and-accounts-jan-2024.pdf" TargetMode="External"/><Relationship Id="rId49" Type="http://schemas.openxmlformats.org/officeDocument/2006/relationships/hyperlink" Target="https://www.nextplc.co.uk/~/media/Files/N/Next-PLC-V2/documents/2024/annual-report-and-accounts-jan-2024.pdf" TargetMode="External"/><Relationship Id="rId114" Type="http://schemas.openxmlformats.org/officeDocument/2006/relationships/hyperlink" Target="https://www.nextplc.co.uk/~/media/Files/N/next-plc-v4/about-next/annual-report-and-accounts-jan-2026.pdf" TargetMode="External"/><Relationship Id="rId119" Type="http://schemas.openxmlformats.org/officeDocument/2006/relationships/hyperlink" Target="https://www.nextplc.co.uk/~/media/Files/N/Next-PLC-V2/documents/2024/annual-report-and-accounts-jan-2024.pdf" TargetMode="External"/><Relationship Id="rId44" Type="http://schemas.openxmlformats.org/officeDocument/2006/relationships/hyperlink" Target="https://www.nextplc.co.uk/~/media/Files/N/Next-PLC-V2/documents/2024/annual-report-and-accounts-jan-2024.pdf" TargetMode="External"/><Relationship Id="rId60" Type="http://schemas.openxmlformats.org/officeDocument/2006/relationships/hyperlink" Target="https://www.nextplc.co.uk/~/media/Files/N/Next-PLC-V2/documents/2024/annual-report-and-accounts-jan-2024.pdf" TargetMode="External"/><Relationship Id="rId65" Type="http://schemas.openxmlformats.org/officeDocument/2006/relationships/hyperlink" Target="https://www.nextplc.co.uk/~/media/Files/N/Next-PLC-V2/documents/2024/annual-report-and-accounts-jan-2024.pdf" TargetMode="External"/><Relationship Id="rId81" Type="http://schemas.openxmlformats.org/officeDocument/2006/relationships/hyperlink" Target="https://www.nextplc.co.uk/~/media/Files/N/Next-PLC-V2/documents/2024/annual-report-and-accounts-jan-2024.pdf" TargetMode="External"/><Relationship Id="rId86" Type="http://schemas.openxmlformats.org/officeDocument/2006/relationships/hyperlink" Target="https://www.nextplc.co.uk/~/media/Files/N/Next-PLC-V2/documents/2024/annual-report-and-accounts-jan-2024.pdf" TargetMode="External"/><Relationship Id="rId130" Type="http://schemas.openxmlformats.org/officeDocument/2006/relationships/hyperlink" Target="https://www.nextplc.co.uk/~/media/Files/N/Next-PLC-V2/documents/2024/annual-report-and-accounts-jan-2024.pdf" TargetMode="External"/><Relationship Id="rId135" Type="http://schemas.openxmlformats.org/officeDocument/2006/relationships/hyperlink" Target="https://www.nextplc.co.uk/~/media/Files/N/next-plc-v4/about-next/annual-report-and-accounts-jan-2026.pdf" TargetMode="External"/><Relationship Id="rId151" Type="http://schemas.openxmlformats.org/officeDocument/2006/relationships/hyperlink" Target="https://www.nextplc.co.uk/~/media/Files/N/next-plc-v4/documents/2024/year-end-results-january2025.pdf" TargetMode="External"/><Relationship Id="rId156" Type="http://schemas.openxmlformats.org/officeDocument/2006/relationships/hyperlink" Target="https://www.nextplc.co.uk/~/media/Files/N/next-plc-v4/documents/2026/trading-statement-august-26.pdf" TargetMode="External"/><Relationship Id="rId13" Type="http://schemas.openxmlformats.org/officeDocument/2006/relationships/hyperlink" Target="https://www.nextplc.co.uk/~/media/Files/N/Next-PLC-V2/documents/2024/annual-report-and-accounts-jan-2024.pdf" TargetMode="External"/><Relationship Id="rId18" Type="http://schemas.openxmlformats.org/officeDocument/2006/relationships/hyperlink" Target="https://www.nextplc.co.uk/~/media/Files/N/Next-PLC-V2/documents/2024/annual-report-and-accounts-jan-2024.pdf" TargetMode="External"/><Relationship Id="rId39" Type="http://schemas.openxmlformats.org/officeDocument/2006/relationships/hyperlink" Target="https://www.nextplc.co.uk/~/media/Files/N/Next-PLC-V2/documents/2024/annual-report-and-accounts-jan-2024.pdf" TargetMode="External"/><Relationship Id="rId109" Type="http://schemas.openxmlformats.org/officeDocument/2006/relationships/hyperlink" Target="https://www.nextplc.co.uk/~/media/Files/N/Next-PLC-V2/documents/2024/annual-report-and-accounts-jan-2024.pdf" TargetMode="External"/><Relationship Id="rId34" Type="http://schemas.openxmlformats.org/officeDocument/2006/relationships/hyperlink" Target="https://www.nextplc.co.uk/~/media/Files/N/Next-PLC-V2/documents/2024/annual-report-and-accounts-jan-2024.pdf" TargetMode="External"/><Relationship Id="rId50" Type="http://schemas.openxmlformats.org/officeDocument/2006/relationships/hyperlink" Target="https://www.nextplc.co.uk/~/media/Files/N/Next-PLC-V2/documents/2024/annual-report-and-accounts-jan-2024.pdf" TargetMode="External"/><Relationship Id="rId55" Type="http://schemas.openxmlformats.org/officeDocument/2006/relationships/hyperlink" Target="https://www.nextplc.co.uk/~/media/Files/N/Next-PLC-V2/documents/2024/annual-report-and-accounts-jan-2024.pdf" TargetMode="External"/><Relationship Id="rId76" Type="http://schemas.openxmlformats.org/officeDocument/2006/relationships/hyperlink" Target="https://www.nextplc.co.uk/~/media/Files/N/Next-PLC-V2/documents/2024/annual-report-and-accounts-jan-2024.pdf" TargetMode="External"/><Relationship Id="rId97" Type="http://schemas.openxmlformats.org/officeDocument/2006/relationships/hyperlink" Target="https://www.nextplc.co.uk/~/media/Files/N/Next-PLC-V2/documents/2024/annual-report-and-accounts-jan-2024.pdf" TargetMode="External"/><Relationship Id="rId104" Type="http://schemas.openxmlformats.org/officeDocument/2006/relationships/hyperlink" Target="https://www.nextplc.co.uk/~/media/Files/N/Next-PLC-V2/documents/2024/annual-report-and-accounts-jan-2024.pdf" TargetMode="External"/><Relationship Id="rId120" Type="http://schemas.openxmlformats.org/officeDocument/2006/relationships/hyperlink" Target="https://www.nextplc.co.uk/~/media/Files/N/next-plc-v4/about-next/annual-report-and-accounts-jan-2025.pdf" TargetMode="External"/><Relationship Id="rId125" Type="http://schemas.openxmlformats.org/officeDocument/2006/relationships/hyperlink" Target="https://www.nextplc.co.uk/~/media/Files/N/next-plc-v4/about-next/annual-report-and-accounts-jan-2026.pdf" TargetMode="External"/><Relationship Id="rId141" Type="http://schemas.openxmlformats.org/officeDocument/2006/relationships/hyperlink" Target="https://www.nextplc.co.uk/~/media/Files/N/next-plc-v4/about-next/annual-report-and-accounts-jan-2026.pdf" TargetMode="External"/><Relationship Id="rId146" Type="http://schemas.openxmlformats.org/officeDocument/2006/relationships/hyperlink" Target="https://www.nextplc.co.uk/~/media/Files/N/next-plc-v4/about-next/annual-report-and-accounts-jan-2025.pdf" TargetMode="External"/><Relationship Id="rId7" Type="http://schemas.openxmlformats.org/officeDocument/2006/relationships/hyperlink" Target="https://www.nextplc.co.uk/~/media/Files/N/Next-PLC-V2/documents/2024/annual-report-and-accounts-jan-2024.pdf" TargetMode="External"/><Relationship Id="rId71" Type="http://schemas.openxmlformats.org/officeDocument/2006/relationships/hyperlink" Target="https://www.nextplc.co.uk/~/media/Files/N/Next-PLC-V2/documents/2024/annual-report-and-accounts-jan-2024.pdf" TargetMode="External"/><Relationship Id="rId92" Type="http://schemas.openxmlformats.org/officeDocument/2006/relationships/hyperlink" Target="https://www.nextplc.co.uk/~/media/Files/N/Next-PLC-V2/documents/2024/annual-report-and-accounts-jan-2024.pdf" TargetMode="External"/><Relationship Id="rId2" Type="http://schemas.openxmlformats.org/officeDocument/2006/relationships/hyperlink" Target="https://www.nextplc.co.uk/~/media/Files/N/Next-PLC-V2/documents/2024/annual-report-and-accounts-jan-2024.pdf" TargetMode="External"/><Relationship Id="rId29" Type="http://schemas.openxmlformats.org/officeDocument/2006/relationships/hyperlink" Target="https://www.nextplc.co.uk/~/media/Files/N/Next-PLC-V2/documents/2024/annual-report-and-accounts-jan-2024.pdf" TargetMode="External"/><Relationship Id="rId24" Type="http://schemas.openxmlformats.org/officeDocument/2006/relationships/hyperlink" Target="https://www.nextplc.co.uk/~/media/Files/N/Next-PLC-V2/documents/2024/annual-report-and-accounts-jan-2024.pdf" TargetMode="External"/><Relationship Id="rId40" Type="http://schemas.openxmlformats.org/officeDocument/2006/relationships/hyperlink" Target="https://www.nextplc.co.uk/~/media/Files/N/Next-PLC-V2/documents/2024/annual-report-and-accounts-jan-2024.pdf" TargetMode="External"/><Relationship Id="rId45" Type="http://schemas.openxmlformats.org/officeDocument/2006/relationships/hyperlink" Target="https://www.nextplc.co.uk/~/media/Files/N/Next-PLC-V2/documents/2024/annual-report-and-accounts-jan-2024.pdf" TargetMode="External"/><Relationship Id="rId66" Type="http://schemas.openxmlformats.org/officeDocument/2006/relationships/hyperlink" Target="https://www.nextplc.co.uk/~/media/Files/N/Next-PLC-V2/documents/2024/annual-report-and-accounts-jan-2024.pdf" TargetMode="External"/><Relationship Id="rId87" Type="http://schemas.openxmlformats.org/officeDocument/2006/relationships/hyperlink" Target="https://www.nextplc.co.uk/~/media/Files/N/Next-PLC-V2/documents/2024/annual-report-and-accounts-jan-2024.pdf" TargetMode="External"/><Relationship Id="rId110" Type="http://schemas.openxmlformats.org/officeDocument/2006/relationships/hyperlink" Target="https://www.nextplc.co.uk/~/media/Files/N/Next-PLC-V2/documents/2024/annual-report-and-accounts-jan-2024.pdf" TargetMode="External"/><Relationship Id="rId115" Type="http://schemas.openxmlformats.org/officeDocument/2006/relationships/hyperlink" Target="https://www.nextplc.co.uk/~/media/Files/N/next-plc-v4/about-next/annual-report-and-accounts-jan-2026.pdf" TargetMode="External"/><Relationship Id="rId131" Type="http://schemas.openxmlformats.org/officeDocument/2006/relationships/hyperlink" Target="https://www.nextplc.co.uk/~/media/Files/N/next-plc-v4/about-next/annual-report-and-accounts-jan-2025.pdf" TargetMode="External"/><Relationship Id="rId136" Type="http://schemas.openxmlformats.org/officeDocument/2006/relationships/hyperlink" Target="https://www.nextplc.co.uk/~/media/Files/N/Next-PLC-V2/documents/2024/annual-report-and-accounts-jan-2024.pdf" TargetMode="External"/><Relationship Id="rId157" Type="http://schemas.openxmlformats.org/officeDocument/2006/relationships/hyperlink" Target="https://www.nextplc.co.uk/~/media/Files/N/next-plc-v4/about-next/annual-report-and-accounts-jan-2026.pdf" TargetMode="External"/><Relationship Id="rId61" Type="http://schemas.openxmlformats.org/officeDocument/2006/relationships/hyperlink" Target="https://www.nextplc.co.uk/~/media/Files/N/Next-PLC-V2/documents/2024/annual-report-and-accounts-jan-2024.pdf" TargetMode="External"/><Relationship Id="rId82" Type="http://schemas.openxmlformats.org/officeDocument/2006/relationships/hyperlink" Target="https://www.nextplc.co.uk/~/media/Files/N/Next-PLC-V2/documents/2024/annual-report-and-accounts-jan-2024.pdf" TargetMode="External"/><Relationship Id="rId152" Type="http://schemas.openxmlformats.org/officeDocument/2006/relationships/hyperlink" Target="https://www.nextplc.co.uk/~/media/Files/N/next-plc-v4/documents/2026/year-end-results-january2026.pdf" TargetMode="External"/><Relationship Id="rId19" Type="http://schemas.openxmlformats.org/officeDocument/2006/relationships/hyperlink" Target="https://www.nextplc.co.uk/~/media/Files/N/Next-PLC-V2/documents/2024/annual-report-and-accounts-jan-2024.pdf" TargetMode="External"/><Relationship Id="rId14" Type="http://schemas.openxmlformats.org/officeDocument/2006/relationships/hyperlink" Target="https://www.nextplc.co.uk/~/media/Files/N/Next-PLC-V2/documents/2024/annual-report-and-accounts-jan-2024.pdf" TargetMode="External"/><Relationship Id="rId30" Type="http://schemas.openxmlformats.org/officeDocument/2006/relationships/hyperlink" Target="https://www.nextplc.co.uk/~/media/Files/N/Next-PLC-V2/documents/2024/annual-report-and-accounts-jan-2024.pdf" TargetMode="External"/><Relationship Id="rId35" Type="http://schemas.openxmlformats.org/officeDocument/2006/relationships/hyperlink" Target="https://www.nextplc.co.uk/~/media/Files/N/Next-PLC-V2/documents/2024/annual-report-and-accounts-jan-2024.pdf" TargetMode="External"/><Relationship Id="rId56" Type="http://schemas.openxmlformats.org/officeDocument/2006/relationships/hyperlink" Target="https://www.nextplc.co.uk/~/media/Files/N/Next-PLC-V2/documents/2024/annual-report-and-accounts-jan-2024.pdf" TargetMode="External"/><Relationship Id="rId77" Type="http://schemas.openxmlformats.org/officeDocument/2006/relationships/hyperlink" Target="https://www.nextplc.co.uk/~/media/Files/N/Next-PLC-V2/documents/2024/annual-report-and-accounts-jan-2024.pdf" TargetMode="External"/><Relationship Id="rId100" Type="http://schemas.openxmlformats.org/officeDocument/2006/relationships/hyperlink" Target="https://www.nextplc.co.uk/~/media/Files/N/Next-PLC-V2/documents/2024/annual-report-and-accounts-jan-2024.pdf" TargetMode="External"/><Relationship Id="rId105" Type="http://schemas.openxmlformats.org/officeDocument/2006/relationships/hyperlink" Target="https://www.nextplc.co.uk/~/media/Files/N/Next-PLC-V2/documents/2024/annual-report-and-accounts-jan-2024.pdf" TargetMode="External"/><Relationship Id="rId126" Type="http://schemas.openxmlformats.org/officeDocument/2006/relationships/hyperlink" Target="https://www.nextplc.co.uk/~/media/Files/N/Next-PLC-V2/documents/2024/annual-report-and-accounts-jan-2024.pdf" TargetMode="External"/><Relationship Id="rId147" Type="http://schemas.openxmlformats.org/officeDocument/2006/relationships/hyperlink" Target="https://www.nextplc.co.uk/~/media/Files/N/next-plc-v4/about-next/annual-report-and-accounts-jan-2026.pdf" TargetMode="External"/><Relationship Id="rId8" Type="http://schemas.openxmlformats.org/officeDocument/2006/relationships/hyperlink" Target="https://www.nextplc.co.uk/~/media/Files/N/Next-PLC-V2/documents/2024/annual-report-and-accounts-jan-2024.pdf" TargetMode="External"/><Relationship Id="rId51" Type="http://schemas.openxmlformats.org/officeDocument/2006/relationships/hyperlink" Target="https://www.nextplc.co.uk/~/media/Files/N/Next-PLC-V2/documents/2024/annual-report-and-accounts-jan-2024.pdf" TargetMode="External"/><Relationship Id="rId72" Type="http://schemas.openxmlformats.org/officeDocument/2006/relationships/hyperlink" Target="https://www.nextplc.co.uk/~/media/Files/N/Next-PLC-V2/documents/2024/annual-report-and-accounts-jan-2024.pdf" TargetMode="External"/><Relationship Id="rId93" Type="http://schemas.openxmlformats.org/officeDocument/2006/relationships/hyperlink" Target="https://www.nextplc.co.uk/~/media/Files/N/Next-PLC-V2/documents/2024/annual-report-and-accounts-jan-2024.pdf" TargetMode="External"/><Relationship Id="rId98" Type="http://schemas.openxmlformats.org/officeDocument/2006/relationships/hyperlink" Target="https://www.nextplc.co.uk/~/media/Files/N/Next-PLC-V2/documents/2024/annual-report-and-accounts-jan-2024.pdf" TargetMode="External"/><Relationship Id="rId121" Type="http://schemas.openxmlformats.org/officeDocument/2006/relationships/hyperlink" Target="https://www.nextplc.co.uk/~/media/Files/N/next-plc-v4/about-next/annual-report-and-accounts-jan-2026.pdf" TargetMode="External"/><Relationship Id="rId142" Type="http://schemas.openxmlformats.org/officeDocument/2006/relationships/hyperlink" Target="https://www.nextplc.co.uk/~/media/Files/N/Next-PLC-V2/documents/2024/annual-report-and-accounts-jan-2024.pdf" TargetMode="External"/><Relationship Id="rId3" Type="http://schemas.openxmlformats.org/officeDocument/2006/relationships/hyperlink" Target="https://www.nextplc.co.uk/~/media/Files/N/Next-PLC-V2/documents/2024/annual-report-and-accounts-jan-2024.pdf" TargetMode="External"/><Relationship Id="rId25" Type="http://schemas.openxmlformats.org/officeDocument/2006/relationships/hyperlink" Target="https://www.nextplc.co.uk/~/media/Files/N/Next-PLC-V2/documents/2024/annual-report-and-accounts-jan-2024.pdf" TargetMode="External"/><Relationship Id="rId46" Type="http://schemas.openxmlformats.org/officeDocument/2006/relationships/hyperlink" Target="https://www.nextplc.co.uk/~/media/Files/N/Next-PLC-V2/documents/2024/annual-report-and-accounts-jan-2024.pdf" TargetMode="External"/><Relationship Id="rId67" Type="http://schemas.openxmlformats.org/officeDocument/2006/relationships/hyperlink" Target="https://www.nextplc.co.uk/~/media/Files/N/Next-PLC-V2/documents/2024/annual-report-and-accounts-jan-2024.pdf" TargetMode="External"/><Relationship Id="rId116" Type="http://schemas.openxmlformats.org/officeDocument/2006/relationships/hyperlink" Target="https://www.nextplc.co.uk/~/media/Files/N/next-plc-v4/about-next/annual-report-and-accounts-jan-2026.pdf" TargetMode="External"/><Relationship Id="rId137" Type="http://schemas.openxmlformats.org/officeDocument/2006/relationships/hyperlink" Target="https://www.nextplc.co.uk/~/media/Files/N/next-plc-v4/documents/2024/year-end-results-january2025.pdf" TargetMode="External"/><Relationship Id="rId158" Type="http://schemas.openxmlformats.org/officeDocument/2006/relationships/drawing" Target="../drawings/drawing4.xml"/><Relationship Id="rId20" Type="http://schemas.openxmlformats.org/officeDocument/2006/relationships/hyperlink" Target="https://www.nextplc.co.uk/~/media/Files/N/Next-PLC-V2/documents/2024/annual-report-and-accounts-jan-2024.pdf" TargetMode="External"/><Relationship Id="rId41" Type="http://schemas.openxmlformats.org/officeDocument/2006/relationships/hyperlink" Target="https://www.nextplc.co.uk/~/media/Files/N/Next-PLC-V2/documents/2024/annual-report-and-accounts-jan-2024.pdf" TargetMode="External"/><Relationship Id="rId62" Type="http://schemas.openxmlformats.org/officeDocument/2006/relationships/hyperlink" Target="https://www.nextplc.co.uk/~/media/Files/N/Next-PLC-V2/documents/2024/annual-report-and-accounts-jan-2024.pdf" TargetMode="External"/><Relationship Id="rId83" Type="http://schemas.openxmlformats.org/officeDocument/2006/relationships/hyperlink" Target="https://www.nextplc.co.uk/~/media/Files/N/Next-PLC-V2/documents/2024/annual-report-and-accounts-jan-2024.pdf" TargetMode="External"/><Relationship Id="rId88" Type="http://schemas.openxmlformats.org/officeDocument/2006/relationships/hyperlink" Target="https://www.nextplc.co.uk/~/media/Files/N/Next-PLC-V2/documents/2024/annual-report-and-accounts-jan-2024.pdf" TargetMode="External"/><Relationship Id="rId111" Type="http://schemas.openxmlformats.org/officeDocument/2006/relationships/hyperlink" Target="https://www.nextplc.co.uk/~/media/Files/N/Next-PLC-V2/documents/2024/annual-report-and-accounts-jan-2024.pdf" TargetMode="External"/><Relationship Id="rId132" Type="http://schemas.openxmlformats.org/officeDocument/2006/relationships/hyperlink" Target="https://www.nextplc.co.uk/~/media/Files/N/next-plc-v4/about-next/annual-report-and-accounts-jan-2026.pdf" TargetMode="External"/><Relationship Id="rId153" Type="http://schemas.openxmlformats.org/officeDocument/2006/relationships/hyperlink" Target="https://www.nextplc.co.uk/~/media/Files/N/next-plc-v4/about-next/annual-report-and-accounts-jan-2026.pdf" TargetMode="External"/><Relationship Id="rId15" Type="http://schemas.openxmlformats.org/officeDocument/2006/relationships/hyperlink" Target="https://www.nextplc.co.uk/~/media/Files/N/Next-PLC-V2/documents/2024/annual-report-and-accounts-jan-2024.pdf" TargetMode="External"/><Relationship Id="rId36" Type="http://schemas.openxmlformats.org/officeDocument/2006/relationships/hyperlink" Target="https://www.nextplc.co.uk/~/media/Files/N/Next-PLC-V2/documents/2024/annual-report-and-accounts-jan-2024.pdf" TargetMode="External"/><Relationship Id="rId57" Type="http://schemas.openxmlformats.org/officeDocument/2006/relationships/hyperlink" Target="https://www.nextplc.co.uk/~/media/Files/N/Next-PLC-V2/documents/2024/annual-report-and-accounts-jan-2024.pdf" TargetMode="External"/><Relationship Id="rId106" Type="http://schemas.openxmlformats.org/officeDocument/2006/relationships/hyperlink" Target="https://www.nextplc.co.uk/~/media/Files/N/Next-PLC-V2/documents/2024/annual-report-and-accounts-jan-2024.pdf" TargetMode="External"/><Relationship Id="rId127" Type="http://schemas.openxmlformats.org/officeDocument/2006/relationships/hyperlink" Target="https://www.nextplc.co.uk/~/media/Files/N/next-plc-v4/about-next/annual-report-and-accounts-jan-2026.pdf" TargetMode="External"/><Relationship Id="rId10" Type="http://schemas.openxmlformats.org/officeDocument/2006/relationships/hyperlink" Target="https://www.nextplc.co.uk/~/media/Files/N/Next-PLC-V2/documents/2024/annual-report-and-accounts-jan-2024.pdf" TargetMode="External"/><Relationship Id="rId31" Type="http://schemas.openxmlformats.org/officeDocument/2006/relationships/hyperlink" Target="https://www.nextplc.co.uk/~/media/Files/N/Next-PLC-V2/documents/2024/annual-report-and-accounts-jan-2024.pdf" TargetMode="External"/><Relationship Id="rId52" Type="http://schemas.openxmlformats.org/officeDocument/2006/relationships/hyperlink" Target="https://www.nextplc.co.uk/~/media/Files/N/Next-PLC-V2/documents/2024/annual-report-and-accounts-jan-2024.pdf" TargetMode="External"/><Relationship Id="rId73" Type="http://schemas.openxmlformats.org/officeDocument/2006/relationships/hyperlink" Target="https://www.nextplc.co.uk/~/media/Files/N/Next-PLC-V2/documents/2024/annual-report-and-accounts-jan-2024.pdf" TargetMode="External"/><Relationship Id="rId78" Type="http://schemas.openxmlformats.org/officeDocument/2006/relationships/hyperlink" Target="https://www.nextplc.co.uk/~/media/Files/N/Next-PLC-V2/documents/2024/annual-report-and-accounts-jan-2024.pdf" TargetMode="External"/><Relationship Id="rId94" Type="http://schemas.openxmlformats.org/officeDocument/2006/relationships/hyperlink" Target="https://www.nextplc.co.uk/~/media/Files/N/Next-PLC-V2/documents/2024/annual-report-and-accounts-jan-2024.pdf" TargetMode="External"/><Relationship Id="rId99" Type="http://schemas.openxmlformats.org/officeDocument/2006/relationships/hyperlink" Target="https://www.nextplc.co.uk/~/media/Files/N/Next-PLC-V2/documents/2024/annual-report-and-accounts-jan-2024.pdf" TargetMode="External"/><Relationship Id="rId101" Type="http://schemas.openxmlformats.org/officeDocument/2006/relationships/hyperlink" Target="https://www.nextplc.co.uk/~/media/Files/N/Next-PLC-V2/documents/2024/annual-report-and-accounts-jan-2024.pdf" TargetMode="External"/><Relationship Id="rId122" Type="http://schemas.openxmlformats.org/officeDocument/2006/relationships/hyperlink" Target="https://www.nextplc.co.uk/~/media/Files/N/next-plc-v4/documents/2026/trading-statement-august-26.pdf" TargetMode="External"/><Relationship Id="rId143" Type="http://schemas.openxmlformats.org/officeDocument/2006/relationships/hyperlink" Target="https://www.nextplc.co.uk/~/media/Files/N/next-plc-v4/documents/2024/year-end-results-january2025.pdf" TargetMode="External"/><Relationship Id="rId148" Type="http://schemas.openxmlformats.org/officeDocument/2006/relationships/hyperlink" Target="https://www.nextplc.co.uk/investors/shareholder-information/debt-investor-information" TargetMode="External"/><Relationship Id="rId4" Type="http://schemas.openxmlformats.org/officeDocument/2006/relationships/hyperlink" Target="https://www.nextplc.co.uk/~/media/Files/N/Next-PLC-V2/documents/2024/annual-report-and-accounts-jan-2024.pdf" TargetMode="External"/><Relationship Id="rId9" Type="http://schemas.openxmlformats.org/officeDocument/2006/relationships/hyperlink" Target="https://www.nextplc.co.uk/~/media/Files/N/Next-PLC-V2/documents/2024/annual-report-and-accounts-jan-2024.pdf" TargetMode="External"/><Relationship Id="rId26" Type="http://schemas.openxmlformats.org/officeDocument/2006/relationships/hyperlink" Target="https://www.nextplc.co.uk/~/media/Files/N/Next-PLC-V2/documents/2024/annual-report-and-accounts-jan-2024.pdf" TargetMode="External"/><Relationship Id="rId47" Type="http://schemas.openxmlformats.org/officeDocument/2006/relationships/hyperlink" Target="https://www.nextplc.co.uk/~/media/Files/N/Next-PLC-V2/documents/2024/annual-report-and-accounts-jan-2024.pdf" TargetMode="External"/><Relationship Id="rId68" Type="http://schemas.openxmlformats.org/officeDocument/2006/relationships/hyperlink" Target="https://www.nextplc.co.uk/~/media/Files/N/Next-PLC-V2/documents/2024/annual-report-and-accounts-jan-2024.pdf" TargetMode="External"/><Relationship Id="rId89" Type="http://schemas.openxmlformats.org/officeDocument/2006/relationships/hyperlink" Target="https://www.nextplc.co.uk/~/media/Files/N/Next-PLC-V2/documents/2024/annual-report-and-accounts-jan-2024.pdf" TargetMode="External"/><Relationship Id="rId112" Type="http://schemas.openxmlformats.org/officeDocument/2006/relationships/hyperlink" Target="https://www.nextplc.co.uk/~/media/Files/N/Next-PLC-V2/documents/2024/annual-report-and-accounts-jan-2024.pdf" TargetMode="External"/><Relationship Id="rId133" Type="http://schemas.openxmlformats.org/officeDocument/2006/relationships/hyperlink" Target="https://www.nextplc.co.uk/~/media/Files/N/Next-PLC-V2/documents/2024/annual-report-and-accounts-jan-2024.pdf" TargetMode="External"/><Relationship Id="rId154" Type="http://schemas.openxmlformats.org/officeDocument/2006/relationships/hyperlink" Target="https://www.nextplc.co.uk/~/media/Files/N/next-plc-v4/about-next/annual-report-and-accounts-jan-2026.pdf" TargetMode="External"/><Relationship Id="rId16" Type="http://schemas.openxmlformats.org/officeDocument/2006/relationships/hyperlink" Target="https://www.nextplc.co.uk/~/media/Files/N/Next-PLC-V2/documents/2024/annual-report-and-accounts-jan-2024.pdf" TargetMode="External"/><Relationship Id="rId37" Type="http://schemas.openxmlformats.org/officeDocument/2006/relationships/hyperlink" Target="https://www.nextplc.co.uk/~/media/Files/N/Next-PLC-V2/documents/2024/annual-report-and-accounts-jan-2024.pdf" TargetMode="External"/><Relationship Id="rId58" Type="http://schemas.openxmlformats.org/officeDocument/2006/relationships/hyperlink" Target="https://www.nextplc.co.uk/~/media/Files/N/Next-PLC-V2/documents/2024/annual-report-and-accounts-jan-2024.pdf" TargetMode="External"/><Relationship Id="rId79" Type="http://schemas.openxmlformats.org/officeDocument/2006/relationships/hyperlink" Target="https://www.nextplc.co.uk/~/media/Files/N/Next-PLC-V2/documents/2024/annual-report-and-accounts-jan-2024.pdf" TargetMode="External"/><Relationship Id="rId102" Type="http://schemas.openxmlformats.org/officeDocument/2006/relationships/hyperlink" Target="https://www.nextplc.co.uk/~/media/Files/N/Next-PLC-V2/documents/2024/annual-report-and-accounts-jan-2024.pdf" TargetMode="External"/><Relationship Id="rId123" Type="http://schemas.openxmlformats.org/officeDocument/2006/relationships/hyperlink" Target="https://www.nextplc.co.uk/~/media/Files/N/Next-PLC-V2/documents/2024/annual-report-and-accounts-jan-2024.pdf" TargetMode="External"/><Relationship Id="rId144" Type="http://schemas.openxmlformats.org/officeDocument/2006/relationships/hyperlink" Target="https://www.nextplc.co.uk/~/media/Files/N/next-plc-v4/about-next/annual-report-and-accounts-jan-2026.pdf" TargetMode="External"/><Relationship Id="rId90" Type="http://schemas.openxmlformats.org/officeDocument/2006/relationships/hyperlink" Target="https://www.nextplc.co.uk/~/media/Files/N/Next-PLC-V2/documents/2024/annual-report-and-accounts-jan-2024.pdf" TargetMode="External"/><Relationship Id="rId27" Type="http://schemas.openxmlformats.org/officeDocument/2006/relationships/hyperlink" Target="https://www.nextplc.co.uk/~/media/Files/N/Next-PLC-V2/documents/2024/annual-report-and-accounts-jan-2024.pdf" TargetMode="External"/><Relationship Id="rId48" Type="http://schemas.openxmlformats.org/officeDocument/2006/relationships/hyperlink" Target="https://www.nextplc.co.uk/~/media/Files/N/Next-PLC-V2/documents/2024/annual-report-and-accounts-jan-2024.pdf" TargetMode="External"/><Relationship Id="rId69" Type="http://schemas.openxmlformats.org/officeDocument/2006/relationships/hyperlink" Target="https://www.nextplc.co.uk/~/media/Files/N/Next-PLC-V2/documents/2024/annual-report-and-accounts-jan-2024.pdf" TargetMode="External"/><Relationship Id="rId113" Type="http://schemas.openxmlformats.org/officeDocument/2006/relationships/hyperlink" Target="https://www.nextplc.co.uk/~/media/Files/N/Next-PLC-V2/documents/2024/annual-report-and-accounts-jan-2024.pdf" TargetMode="External"/><Relationship Id="rId134" Type="http://schemas.openxmlformats.org/officeDocument/2006/relationships/hyperlink" Target="https://www.nextplc.co.uk/~/media/Files/N/next-plc-v4/about-next/annual-report-and-accounts-jan-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1364B"/>
    <pageSetUpPr fitToPage="1"/>
  </sheetPr>
  <dimension ref="A1:P67"/>
  <sheetViews>
    <sheetView showGridLines="0" topLeftCell="A14" zoomScale="85" zoomScaleNormal="100" workbookViewId="0">
      <selection activeCell="C2" sqref="C2"/>
    </sheetView>
  </sheetViews>
  <sheetFormatPr baseColWidth="10" defaultColWidth="8.83203125" defaultRowHeight="14"/>
  <cols>
    <col min="1" max="2" width="2" customWidth="1"/>
    <col min="3" max="3" width="53" customWidth="1"/>
    <col min="4" max="12" width="13" customWidth="1"/>
    <col min="13" max="13" width="3" customWidth="1"/>
    <col min="14" max="14" width="24" customWidth="1"/>
  </cols>
  <sheetData>
    <row r="1" spans="1:14" ht="20" customHeight="1">
      <c r="A1" s="2"/>
      <c r="B1" s="2"/>
      <c r="C1" s="2"/>
      <c r="D1" s="3"/>
      <c r="E1" s="3"/>
      <c r="F1" s="3"/>
      <c r="G1" s="3"/>
      <c r="H1" s="3"/>
      <c r="I1" s="3"/>
      <c r="J1" s="3"/>
      <c r="K1" s="3"/>
      <c r="L1" s="3"/>
      <c r="M1" s="2"/>
      <c r="N1" s="2"/>
    </row>
    <row r="2" spans="1:14" ht="20" customHeight="1">
      <c r="A2" s="2"/>
      <c r="B2" s="2"/>
      <c r="C2" s="4" t="s">
        <v>0</v>
      </c>
      <c r="D2" s="5"/>
      <c r="E2" s="5"/>
      <c r="F2" s="5"/>
      <c r="G2" s="5"/>
      <c r="H2" s="5"/>
      <c r="I2" s="5"/>
      <c r="J2" s="5"/>
      <c r="K2" s="5"/>
      <c r="L2" s="5"/>
      <c r="M2" s="2"/>
      <c r="N2" s="2"/>
    </row>
    <row r="3" spans="1:14" ht="20" customHeight="1">
      <c r="A3" s="2"/>
      <c r="B3" s="2"/>
      <c r="C3" s="4" t="s">
        <v>1</v>
      </c>
      <c r="D3" s="5"/>
      <c r="E3" s="5"/>
      <c r="F3" s="5"/>
      <c r="G3" s="5"/>
      <c r="H3" s="5"/>
      <c r="I3" s="5"/>
      <c r="J3" s="5"/>
      <c r="K3" s="5"/>
      <c r="L3" s="5"/>
      <c r="M3" s="2"/>
      <c r="N3" s="2"/>
    </row>
    <row r="4" spans="1:14" ht="20" customHeight="1">
      <c r="A4" s="2"/>
      <c r="B4" s="2"/>
      <c r="C4" s="2"/>
      <c r="D4" s="3"/>
      <c r="E4" s="3"/>
      <c r="F4" s="3"/>
      <c r="G4" s="3"/>
      <c r="H4" s="3"/>
      <c r="I4" s="3"/>
      <c r="J4" s="3"/>
      <c r="K4" s="3"/>
      <c r="L4" s="3"/>
      <c r="M4" s="2"/>
      <c r="N4" s="2"/>
    </row>
    <row r="5" spans="1:14" ht="20" customHeight="1">
      <c r="A5" s="2"/>
      <c r="B5" s="2"/>
      <c r="C5" s="44" t="s">
        <v>2</v>
      </c>
      <c r="D5" s="119" t="s">
        <v>3</v>
      </c>
      <c r="E5" s="119"/>
      <c r="F5" s="119"/>
      <c r="G5" s="119"/>
      <c r="H5" s="45"/>
      <c r="I5" s="45"/>
      <c r="J5" s="45"/>
      <c r="K5" s="45"/>
      <c r="L5" s="45"/>
      <c r="M5" s="2"/>
      <c r="N5" s="2"/>
    </row>
    <row r="6" spans="1:14" ht="23" customHeight="1">
      <c r="A6" s="2"/>
      <c r="B6" s="2"/>
      <c r="C6" s="44" t="s">
        <v>4</v>
      </c>
      <c r="D6" s="121">
        <v>46273</v>
      </c>
      <c r="E6" s="119"/>
      <c r="F6" s="119"/>
      <c r="G6" s="119"/>
      <c r="H6" s="45"/>
      <c r="I6" s="45"/>
      <c r="J6" s="45"/>
      <c r="K6" s="45"/>
      <c r="L6" s="45"/>
      <c r="M6" s="2"/>
      <c r="N6" s="2"/>
    </row>
    <row r="7" spans="1:14" ht="20" customHeight="1">
      <c r="A7" s="2"/>
      <c r="B7" s="2"/>
      <c r="C7" s="44" t="s">
        <v>5</v>
      </c>
      <c r="D7" s="121">
        <v>46239</v>
      </c>
      <c r="E7" s="119"/>
      <c r="F7" s="119"/>
      <c r="G7" s="119"/>
      <c r="H7" s="45"/>
      <c r="I7" s="45"/>
      <c r="J7" s="45"/>
      <c r="K7" s="45"/>
      <c r="L7" s="45"/>
      <c r="M7" s="2"/>
      <c r="N7" s="2"/>
    </row>
    <row r="8" spans="1:14" ht="20" customHeight="1">
      <c r="A8" s="2"/>
      <c r="B8" s="2"/>
      <c r="C8" s="44" t="s">
        <v>6</v>
      </c>
      <c r="D8" s="119" t="s">
        <v>7</v>
      </c>
      <c r="E8" s="119"/>
      <c r="F8" s="119"/>
      <c r="G8" s="119"/>
      <c r="H8" s="45"/>
      <c r="I8" s="45"/>
      <c r="J8" s="45"/>
      <c r="K8" s="45"/>
      <c r="L8" s="45"/>
      <c r="M8" s="2"/>
      <c r="N8" s="2"/>
    </row>
    <row r="9" spans="1:14" ht="20" customHeight="1">
      <c r="A9" s="2"/>
      <c r="B9" s="2"/>
      <c r="C9" s="44" t="s">
        <v>8</v>
      </c>
      <c r="D9" s="119" t="s">
        <v>9</v>
      </c>
      <c r="E9" s="119"/>
      <c r="F9" s="119"/>
      <c r="G9" s="119"/>
      <c r="H9" s="45"/>
      <c r="I9" s="45"/>
      <c r="J9" s="45"/>
      <c r="K9" s="45"/>
      <c r="L9" s="45"/>
      <c r="M9" s="2"/>
      <c r="N9" s="2"/>
    </row>
    <row r="10" spans="1:14" ht="20" customHeight="1">
      <c r="A10" s="2"/>
      <c r="B10" s="2"/>
      <c r="C10" s="44" t="s">
        <v>10</v>
      </c>
      <c r="D10" s="119" t="s">
        <v>11</v>
      </c>
      <c r="E10" s="119"/>
      <c r="F10" s="119"/>
      <c r="G10" s="119"/>
      <c r="H10" s="45"/>
      <c r="I10" s="45"/>
      <c r="J10" s="45"/>
      <c r="K10" s="45"/>
      <c r="L10" s="45"/>
      <c r="M10" s="2"/>
      <c r="N10" s="2"/>
    </row>
    <row r="11" spans="1:14" ht="20" customHeight="1">
      <c r="A11" s="2"/>
      <c r="B11" s="2"/>
      <c r="C11" s="44" t="s">
        <v>12</v>
      </c>
      <c r="D11" s="119" t="s">
        <v>13</v>
      </c>
      <c r="E11" s="119"/>
      <c r="F11" s="119"/>
      <c r="G11" s="119"/>
      <c r="H11" s="45"/>
      <c r="I11" s="45"/>
      <c r="J11" s="45"/>
      <c r="K11" s="45"/>
      <c r="L11" s="45"/>
      <c r="M11" s="2"/>
      <c r="N11" s="2"/>
    </row>
    <row r="12" spans="1:14" ht="20" customHeight="1">
      <c r="A12" s="2"/>
      <c r="B12" s="2"/>
      <c r="C12" s="46" t="s">
        <v>14</v>
      </c>
      <c r="D12" s="120" t="str">
        <f>'04 Audit &amp; Sources'!E6</f>
        <v>PASS</v>
      </c>
      <c r="E12" s="120"/>
      <c r="F12" s="120"/>
      <c r="G12" s="120"/>
      <c r="H12" s="45"/>
      <c r="I12" s="45"/>
      <c r="J12" s="45"/>
      <c r="K12" s="45"/>
      <c r="L12" s="45"/>
      <c r="M12" s="2"/>
      <c r="N12" s="2"/>
    </row>
    <row r="13" spans="1:14" ht="20" customHeight="1">
      <c r="A13" s="2"/>
      <c r="B13" s="2"/>
      <c r="C13" s="2"/>
      <c r="D13" s="3"/>
      <c r="E13" s="3"/>
      <c r="F13" s="3"/>
      <c r="G13" s="3"/>
      <c r="H13" s="3"/>
      <c r="I13" s="3"/>
      <c r="J13" s="3"/>
      <c r="K13" s="3"/>
      <c r="L13" s="3"/>
      <c r="M13" s="2"/>
      <c r="N13" s="2"/>
    </row>
    <row r="14" spans="1:14" ht="32" customHeight="1">
      <c r="A14" s="2"/>
      <c r="B14" s="2"/>
      <c r="C14" s="117" t="s">
        <v>15</v>
      </c>
      <c r="D14" s="118"/>
      <c r="E14" s="118"/>
      <c r="F14" s="118"/>
      <c r="G14" s="118"/>
      <c r="H14" s="118"/>
      <c r="I14" s="118"/>
      <c r="J14" s="118"/>
      <c r="K14" s="118"/>
      <c r="L14" s="118"/>
      <c r="M14" s="2"/>
      <c r="N14" s="2"/>
    </row>
    <row r="15" spans="1:14" ht="20" customHeight="1">
      <c r="A15" s="2"/>
      <c r="B15" s="2"/>
      <c r="C15" s="2"/>
      <c r="D15" s="3"/>
      <c r="E15" s="3"/>
      <c r="F15" s="3"/>
      <c r="G15" s="3"/>
      <c r="H15" s="3"/>
      <c r="I15" s="3"/>
      <c r="J15" s="3"/>
      <c r="K15" s="3"/>
      <c r="L15" s="3"/>
      <c r="M15" s="2"/>
      <c r="N15" s="2"/>
    </row>
    <row r="16" spans="1:14" ht="32" customHeight="1">
      <c r="A16" s="2"/>
      <c r="B16" s="2"/>
      <c r="C16" s="117" t="s">
        <v>16</v>
      </c>
      <c r="D16" s="118"/>
      <c r="E16" s="118"/>
      <c r="F16" s="118"/>
      <c r="G16" s="118"/>
      <c r="H16" s="118"/>
      <c r="I16" s="118"/>
      <c r="J16" s="118"/>
      <c r="K16" s="118"/>
      <c r="L16" s="118"/>
      <c r="M16" s="2"/>
      <c r="N16" s="2"/>
    </row>
    <row r="17" spans="1:14" ht="20" customHeight="1">
      <c r="A17" s="2"/>
      <c r="B17" s="2"/>
      <c r="C17" s="2"/>
      <c r="D17" s="3"/>
      <c r="E17" s="3"/>
      <c r="F17" s="3"/>
      <c r="G17" s="3"/>
      <c r="H17" s="3"/>
      <c r="I17" s="3"/>
      <c r="J17" s="3"/>
      <c r="K17" s="3"/>
      <c r="L17" s="3"/>
      <c r="M17" s="2"/>
      <c r="N17" s="2"/>
    </row>
    <row r="18" spans="1:14" ht="20" customHeight="1">
      <c r="A18" s="2"/>
      <c r="B18" s="2"/>
      <c r="C18" s="10" t="s">
        <v>17</v>
      </c>
      <c r="D18" s="3"/>
      <c r="E18" s="3"/>
      <c r="F18" s="3"/>
      <c r="G18" s="3"/>
      <c r="H18" s="3"/>
      <c r="I18" s="3"/>
      <c r="J18" s="3"/>
      <c r="K18" s="3"/>
      <c r="L18" s="3"/>
      <c r="M18" s="2"/>
      <c r="N18" s="2"/>
    </row>
    <row r="19" spans="1:14" ht="20" customHeight="1">
      <c r="A19" s="2"/>
      <c r="B19" s="2"/>
      <c r="C19" s="10" t="s">
        <v>18</v>
      </c>
      <c r="D19" s="3"/>
      <c r="E19" s="3"/>
      <c r="F19" s="3"/>
      <c r="G19" s="3"/>
      <c r="H19" s="3"/>
      <c r="I19" s="3"/>
      <c r="J19" s="3"/>
      <c r="K19" s="3"/>
      <c r="L19" s="3"/>
      <c r="M19" s="2"/>
      <c r="N19" s="2"/>
    </row>
    <row r="20" spans="1:14" ht="20" customHeight="1">
      <c r="A20" s="2"/>
      <c r="B20" s="2"/>
      <c r="C20" s="10" t="s">
        <v>19</v>
      </c>
      <c r="D20" s="3"/>
      <c r="E20" s="3"/>
      <c r="F20" s="3"/>
      <c r="G20" s="3"/>
      <c r="H20" s="3"/>
      <c r="I20" s="3"/>
      <c r="J20" s="3"/>
      <c r="K20" s="3"/>
      <c r="L20" s="3"/>
      <c r="M20" s="2"/>
      <c r="N20" s="2"/>
    </row>
    <row r="21" spans="1:14" ht="20" customHeight="1">
      <c r="A21" s="2"/>
      <c r="B21" s="2"/>
      <c r="C21" s="10" t="s">
        <v>20</v>
      </c>
      <c r="D21" s="3"/>
      <c r="E21" s="3"/>
      <c r="F21" s="3"/>
      <c r="G21" s="3"/>
      <c r="H21" s="3"/>
      <c r="I21" s="3"/>
      <c r="J21" s="3"/>
      <c r="K21" s="3"/>
      <c r="L21" s="3"/>
      <c r="M21" s="2"/>
      <c r="N21" s="2"/>
    </row>
    <row r="22" spans="1:14" ht="20" customHeight="1">
      <c r="A22" s="2"/>
      <c r="B22" s="2"/>
      <c r="C22" s="2"/>
      <c r="D22" s="3"/>
      <c r="E22" s="3"/>
      <c r="F22" s="3"/>
      <c r="G22" s="3"/>
      <c r="H22" s="3"/>
      <c r="I22" s="3"/>
      <c r="J22" s="3"/>
      <c r="K22" s="3"/>
      <c r="L22" s="3"/>
      <c r="M22" s="2"/>
      <c r="N22" s="2"/>
    </row>
    <row r="23" spans="1:14" ht="32" customHeight="1">
      <c r="A23" s="2"/>
      <c r="B23" s="2"/>
      <c r="C23" s="117" t="s">
        <v>21</v>
      </c>
      <c r="D23" s="118"/>
      <c r="E23" s="118"/>
      <c r="F23" s="118"/>
      <c r="G23" s="118"/>
      <c r="H23" s="118"/>
      <c r="I23" s="118"/>
      <c r="J23" s="118"/>
      <c r="K23" s="118"/>
      <c r="L23" s="118"/>
      <c r="M23" s="2"/>
      <c r="N23" s="2"/>
    </row>
    <row r="24" spans="1:14" ht="20" customHeight="1">
      <c r="A24" s="2"/>
      <c r="B24" s="2"/>
      <c r="C24" s="2"/>
      <c r="D24" s="3"/>
      <c r="E24" s="3"/>
      <c r="F24" s="3"/>
      <c r="G24" s="3"/>
      <c r="H24" s="3"/>
      <c r="I24" s="3"/>
      <c r="J24" s="3"/>
      <c r="K24" s="3"/>
      <c r="L24" s="3"/>
      <c r="M24" s="2"/>
      <c r="N24" s="2"/>
    </row>
    <row r="25" spans="1:14" ht="20" customHeight="1">
      <c r="A25" s="2"/>
      <c r="B25" s="2"/>
      <c r="C25" s="2"/>
      <c r="D25" s="3"/>
      <c r="E25" s="3"/>
      <c r="F25" s="3"/>
      <c r="G25" s="3"/>
      <c r="H25" s="3"/>
      <c r="I25" s="3"/>
      <c r="J25" s="3"/>
      <c r="K25" s="3"/>
      <c r="L25" s="3"/>
      <c r="M25" s="2"/>
      <c r="N25" s="2"/>
    </row>
    <row r="26" spans="1:14" ht="25" customHeight="1">
      <c r="A26" s="2"/>
      <c r="B26" s="2"/>
      <c r="C26" s="6" t="s">
        <v>22</v>
      </c>
      <c r="D26" s="7"/>
      <c r="E26" s="7"/>
      <c r="F26" s="7"/>
      <c r="G26" s="7"/>
      <c r="H26" s="7"/>
      <c r="I26" s="7"/>
      <c r="J26" s="7"/>
      <c r="K26" s="7"/>
      <c r="L26" s="7"/>
      <c r="M26" s="2"/>
      <c r="N26" s="2"/>
    </row>
    <row r="27" spans="1:14" ht="22" customHeight="1">
      <c r="A27" s="2"/>
      <c r="B27" s="2"/>
      <c r="C27" s="2" t="s">
        <v>23</v>
      </c>
      <c r="D27" s="9" t="s">
        <v>24</v>
      </c>
      <c r="E27" s="9" t="s">
        <v>25</v>
      </c>
      <c r="F27" s="9" t="s">
        <v>26</v>
      </c>
      <c r="G27" s="9" t="s">
        <v>27</v>
      </c>
      <c r="H27" s="9" t="s">
        <v>28</v>
      </c>
      <c r="I27" s="9" t="s">
        <v>29</v>
      </c>
      <c r="J27" s="9" t="s">
        <v>30</v>
      </c>
      <c r="K27" s="9" t="s">
        <v>31</v>
      </c>
      <c r="L27" s="9" t="s">
        <v>32</v>
      </c>
      <c r="M27" s="2"/>
      <c r="N27" s="2"/>
    </row>
    <row r="28" spans="1:14" ht="22" customHeight="1">
      <c r="A28" s="2"/>
      <c r="B28" s="2"/>
      <c r="C28" s="2" t="s">
        <v>33</v>
      </c>
      <c r="D28" s="3">
        <f>'02 Model'!D8</f>
        <v>5034</v>
      </c>
      <c r="E28" s="3">
        <f>'02 Model'!E8</f>
        <v>5491</v>
      </c>
      <c r="F28" s="3">
        <f>'02 Model'!F8</f>
        <v>6118.1</v>
      </c>
      <c r="G28" s="3">
        <f>'02 Model'!G8</f>
        <v>6901.3</v>
      </c>
      <c r="H28" s="3">
        <f>'02 Model'!H8</f>
        <v>7265.621000000001</v>
      </c>
      <c r="I28" s="3">
        <f>'02 Model'!I8</f>
        <v>7701.5582600000016</v>
      </c>
      <c r="J28" s="3">
        <f>'02 Model'!J8</f>
        <v>8125.1439643000012</v>
      </c>
      <c r="K28" s="3">
        <f>'02 Model'!K8</f>
        <v>8531.4011625150015</v>
      </c>
      <c r="L28" s="3">
        <f>'02 Model'!L8</f>
        <v>8915.3142148281768</v>
      </c>
      <c r="M28" s="2"/>
      <c r="N28" s="2"/>
    </row>
    <row r="29" spans="1:14" ht="22" customHeight="1">
      <c r="A29" s="2"/>
      <c r="B29" s="2"/>
      <c r="C29" s="2" t="s">
        <v>34</v>
      </c>
      <c r="D29" s="12" t="str">
        <f>"n.a."</f>
        <v>n.a.</v>
      </c>
      <c r="E29" s="12">
        <f>'02 Model'!E8/'02 Model'!D8-1</f>
        <v>9.0782677791021005E-2</v>
      </c>
      <c r="F29" s="12">
        <f>'02 Model'!F8/'02 Model'!E8-1</f>
        <v>0.11420506283008569</v>
      </c>
      <c r="G29" s="12">
        <f>'02 Model'!G8/'02 Model'!F8-1</f>
        <v>0.12801359899315146</v>
      </c>
      <c r="H29" s="12">
        <f>'02 Model'!H8/'02 Model'!G8-1</f>
        <v>5.2790198948024392E-2</v>
      </c>
      <c r="I29" s="12">
        <f>'02 Model'!I8/'02 Model'!H8-1</f>
        <v>6.0000000000000053E-2</v>
      </c>
      <c r="J29" s="12">
        <f>'02 Model'!J8/'02 Model'!I8-1</f>
        <v>5.4999999999999938E-2</v>
      </c>
      <c r="K29" s="12">
        <f>'02 Model'!K8/'02 Model'!J8-1</f>
        <v>5.0000000000000044E-2</v>
      </c>
      <c r="L29" s="12">
        <f>'02 Model'!L8/'02 Model'!K8-1</f>
        <v>4.4999999999999929E-2</v>
      </c>
      <c r="M29" s="2"/>
      <c r="N29" s="2"/>
    </row>
    <row r="30" spans="1:14" ht="22" customHeight="1">
      <c r="A30" s="2"/>
      <c r="B30" s="2"/>
      <c r="C30" s="2" t="s">
        <v>35</v>
      </c>
      <c r="D30" s="12">
        <f>'02 Model'!D24/'02 Model'!D8</f>
        <v>0.18702820818434648</v>
      </c>
      <c r="E30" s="12">
        <f>'02 Model'!E24/'02 Model'!E8</f>
        <v>0.17991258422873793</v>
      </c>
      <c r="F30" s="12">
        <f>'02 Model'!F24/'02 Model'!F8</f>
        <v>0.17577352446020827</v>
      </c>
      <c r="G30" s="12">
        <f>'02 Model'!G24/'02 Model'!G8</f>
        <v>0.18529842203642793</v>
      </c>
      <c r="H30" s="12">
        <f>'02 Model'!H24/'02 Model'!H8</f>
        <v>0.18334838618749855</v>
      </c>
      <c r="I30" s="12">
        <f>'02 Model'!I24/'02 Model'!I8</f>
        <v>0.18437695183519906</v>
      </c>
      <c r="J30" s="12">
        <f>'02 Model'!J24/'02 Model'!J8</f>
        <v>0.18490002834939054</v>
      </c>
      <c r="K30" s="12">
        <f>'02 Model'!K24/'02 Model'!K8</f>
        <v>0.18491761045544122</v>
      </c>
      <c r="L30" s="12">
        <f>'02 Model'!L24/'02 Model'!L8</f>
        <v>0.18542966835911232</v>
      </c>
      <c r="M30" s="2"/>
      <c r="N30" s="2"/>
    </row>
    <row r="31" spans="1:14" ht="22" customHeight="1">
      <c r="A31" s="2"/>
      <c r="B31" s="2"/>
      <c r="C31" s="2" t="s">
        <v>36</v>
      </c>
      <c r="D31" s="12">
        <f>'02 Model'!D28/'02 Model'!D8</f>
        <v>0.17268573698847842</v>
      </c>
      <c r="E31" s="12">
        <f>'02 Model'!E28/'02 Model'!E8</f>
        <v>0.18499362593334548</v>
      </c>
      <c r="F31" s="12">
        <f>'02 Model'!F28/'02 Model'!F8</f>
        <v>0.16132459423677289</v>
      </c>
      <c r="G31" s="12">
        <f>'02 Model'!G28/'02 Model'!G8</f>
        <v>0.17280802167707535</v>
      </c>
      <c r="H31" s="12">
        <f>'02 Model'!H28/'02 Model'!H8</f>
        <v>0.17175806697505039</v>
      </c>
      <c r="I31" s="12">
        <f>'02 Model'!I28/'02 Model'!I8</f>
        <v>0.17445064869088914</v>
      </c>
      <c r="J31" s="12">
        <f>'02 Model'!J28/'02 Model'!J8</f>
        <v>0.17563424056793231</v>
      </c>
      <c r="K31" s="12">
        <f>'02 Model'!K28/'02 Model'!K8</f>
        <v>0.17633022384827424</v>
      </c>
      <c r="L31" s="12">
        <f>'02 Model'!L28/'02 Model'!L8</f>
        <v>0.17743493476139235</v>
      </c>
      <c r="M31" s="2"/>
      <c r="N31" s="2"/>
    </row>
    <row r="32" spans="1:14" ht="22" customHeight="1">
      <c r="A32" s="2"/>
      <c r="B32" s="2"/>
      <c r="C32" s="2" t="s">
        <v>37</v>
      </c>
      <c r="D32" s="3">
        <f>'02 Model'!D28</f>
        <v>869.3000000000003</v>
      </c>
      <c r="E32" s="3">
        <f>'02 Model'!E28</f>
        <v>1015.8</v>
      </c>
      <c r="F32" s="3">
        <f>'02 Model'!F28</f>
        <v>987.00000000000034</v>
      </c>
      <c r="G32" s="3">
        <f>'02 Model'!G28</f>
        <v>1192.6000000000001</v>
      </c>
      <c r="H32" s="3">
        <f>'02 Model'!H28</f>
        <v>1247.9290183333328</v>
      </c>
      <c r="I32" s="3">
        <f>'02 Model'!I28</f>
        <v>1343.5418343876756</v>
      </c>
      <c r="J32" s="3">
        <f>'02 Model'!J28</f>
        <v>1427.0534896749496</v>
      </c>
      <c r="K32" s="3">
        <f>'02 Model'!K28</f>
        <v>1504.3438767256973</v>
      </c>
      <c r="L32" s="3">
        <f>'02 Model'!L28</f>
        <v>1581.8881960853514</v>
      </c>
      <c r="M32" s="2"/>
      <c r="N32" s="2"/>
    </row>
    <row r="33" spans="1:16" ht="22" customHeight="1">
      <c r="A33" s="2"/>
      <c r="B33" s="2"/>
      <c r="C33" s="2" t="s">
        <v>38</v>
      </c>
      <c r="D33" s="3">
        <f>-'02 Model'!D102-'02 Model'!D106</f>
        <v>246.1</v>
      </c>
      <c r="E33" s="3">
        <f>-'02 Model'!E102-'02 Model'!E106</f>
        <v>188.2</v>
      </c>
      <c r="F33" s="3">
        <f>-'02 Model'!F102-'02 Model'!F106</f>
        <v>157.5</v>
      </c>
      <c r="G33" s="3">
        <f>-'02 Model'!G102-'02 Model'!G106</f>
        <v>171.2</v>
      </c>
      <c r="H33" s="3">
        <f>-'02 Model'!H102-'02 Model'!H106</f>
        <v>237</v>
      </c>
      <c r="I33" s="3">
        <f>-'02 Model'!I102-'02 Model'!I106</f>
        <v>252</v>
      </c>
      <c r="J33" s="3">
        <f>-'02 Model'!J102-'02 Model'!J106</f>
        <v>227</v>
      </c>
      <c r="K33" s="3">
        <f>-'02 Model'!K102-'02 Model'!K106</f>
        <v>289</v>
      </c>
      <c r="L33" s="3">
        <f>-'02 Model'!L102-'02 Model'!L106</f>
        <v>300</v>
      </c>
      <c r="M33" s="2"/>
      <c r="N33" s="2"/>
    </row>
    <row r="34" spans="1:16" ht="22" customHeight="1">
      <c r="A34" s="2"/>
      <c r="B34" s="2"/>
      <c r="C34" s="2" t="s">
        <v>39</v>
      </c>
      <c r="D34" s="3">
        <f>'02 Model'!D99+'02 Model'!D102+'02 Model'!D106+'02 Model'!D122+'02 Model'!D123</f>
        <v>321.49999999999989</v>
      </c>
      <c r="E34" s="3">
        <f>'02 Model'!E99+'02 Model'!E102+'02 Model'!E106+'02 Model'!E122+'02 Model'!E123</f>
        <v>696.79999999999984</v>
      </c>
      <c r="F34" s="3">
        <f>'02 Model'!F99+'02 Model'!F102+'02 Model'!F106+'02 Model'!F122+'02 Model'!F123</f>
        <v>718.50000000000011</v>
      </c>
      <c r="G34" s="3">
        <f>'02 Model'!G99+'02 Model'!G102+'02 Model'!G106+'02 Model'!G122+'02 Model'!G123</f>
        <v>800.89999999999986</v>
      </c>
      <c r="H34" s="3">
        <f>'02 Model'!H99+'02 Model'!H102+'02 Model'!H106+'02 Model'!H122+'02 Model'!H123</f>
        <v>1042.9481546977161</v>
      </c>
      <c r="I34" s="3">
        <f>'02 Model'!I99+'02 Model'!I102+'02 Model'!I106+'02 Model'!I122+'02 Model'!I123</f>
        <v>864.89327468889405</v>
      </c>
      <c r="J34" s="3">
        <f>'02 Model'!J99+'02 Model'!J102+'02 Model'!J106+'02 Model'!J122+'02 Model'!J123</f>
        <v>1118.2097138146487</v>
      </c>
      <c r="K34" s="3">
        <f>'02 Model'!K99+'02 Model'!K102+'02 Model'!K106+'02 Model'!K122+'02 Model'!K123</f>
        <v>971.15076560770842</v>
      </c>
      <c r="L34" s="3">
        <f>'02 Model'!L99+'02 Model'!L102+'02 Model'!L106+'02 Model'!L122+'02 Model'!L123</f>
        <v>1193.184822518876</v>
      </c>
      <c r="M34" s="2"/>
      <c r="N34" s="2"/>
    </row>
    <row r="35" spans="1:16" ht="22" customHeight="1">
      <c r="A35" s="2"/>
      <c r="B35" s="2"/>
      <c r="C35" s="2" t="s">
        <v>40</v>
      </c>
      <c r="D35" s="3">
        <f>'03 Schedules'!D161</f>
        <v>788</v>
      </c>
      <c r="E35" s="3">
        <f>'03 Schedules'!E161</f>
        <v>690.7</v>
      </c>
      <c r="F35" s="3">
        <f>'03 Schedules'!F161</f>
        <v>654</v>
      </c>
      <c r="G35" s="3">
        <f>'03 Schedules'!G161</f>
        <v>712.7</v>
      </c>
      <c r="H35" s="3">
        <f>'03 Schedules'!H161</f>
        <v>620.25184530228375</v>
      </c>
      <c r="I35" s="3">
        <f>'03 Schedules'!I161</f>
        <v>632</v>
      </c>
      <c r="J35" s="3">
        <f>'03 Schedules'!J161</f>
        <v>632</v>
      </c>
      <c r="K35" s="3">
        <f>'03 Schedules'!K161</f>
        <v>632</v>
      </c>
      <c r="L35" s="3">
        <f>'03 Schedules'!L161</f>
        <v>632</v>
      </c>
      <c r="M35" s="2"/>
      <c r="N35" s="2"/>
    </row>
    <row r="36" spans="1:16" ht="22" customHeight="1">
      <c r="A36" s="2"/>
      <c r="B36" s="2"/>
      <c r="C36" s="2" t="s">
        <v>41</v>
      </c>
      <c r="D36" s="3">
        <f>-'02 Model'!D129</f>
        <v>237.4</v>
      </c>
      <c r="E36" s="3">
        <f>-'02 Model'!E129</f>
        <v>248.3</v>
      </c>
      <c r="F36" s="3">
        <f>-'02 Model'!F129</f>
        <v>257.8</v>
      </c>
      <c r="G36" s="3">
        <f>-'02 Model'!G129</f>
        <v>286.5</v>
      </c>
      <c r="H36" s="3">
        <f>-'02 Model'!H129</f>
        <v>318</v>
      </c>
      <c r="I36" s="3">
        <f>-'02 Model'!I129</f>
        <v>340.4</v>
      </c>
      <c r="J36" s="3">
        <f>-'02 Model'!J129</f>
        <v>374.1</v>
      </c>
      <c r="K36" s="3">
        <f>-'02 Model'!K129</f>
        <v>396.1</v>
      </c>
      <c r="L36" s="3">
        <f>-'02 Model'!L129</f>
        <v>417.2</v>
      </c>
      <c r="M36" s="2"/>
      <c r="N36" s="2"/>
    </row>
    <row r="37" spans="1:16" ht="22" customHeight="1">
      <c r="A37" s="2"/>
      <c r="B37" s="2"/>
      <c r="C37" s="2" t="s">
        <v>42</v>
      </c>
      <c r="D37" s="3">
        <f>-'02 Model'!D114-'02 Model'!D128</f>
        <v>228.5</v>
      </c>
      <c r="E37" s="3">
        <f>-'02 Model'!E114-'02 Model'!E128</f>
        <v>177.3</v>
      </c>
      <c r="F37" s="3">
        <f>-'02 Model'!F114-'02 Model'!F128</f>
        <v>360.2</v>
      </c>
      <c r="G37" s="3">
        <f>-'02 Model'!G114-'02 Model'!G128</f>
        <v>552.9</v>
      </c>
      <c r="H37" s="3">
        <f>-'02 Model'!H114-'02 Model'!H128</f>
        <v>524</v>
      </c>
      <c r="I37" s="3">
        <f>-'02 Model'!I114-'02 Model'!I128</f>
        <v>461.48247529302137</v>
      </c>
      <c r="J37" s="3">
        <f>-'02 Model'!J114-'02 Model'!J128</f>
        <v>665.86847991177581</v>
      </c>
      <c r="K37" s="3">
        <f>-'02 Model'!K114-'02 Model'!K128</f>
        <v>493.36317971961751</v>
      </c>
      <c r="L37" s="3">
        <f>-'02 Model'!L114-'02 Model'!L128</f>
        <v>690.84941818648304</v>
      </c>
      <c r="M37" s="2"/>
      <c r="N37" s="2"/>
    </row>
    <row r="38" spans="1:16" ht="20" customHeight="1">
      <c r="A38" s="2"/>
      <c r="B38" s="2"/>
      <c r="C38" s="2"/>
      <c r="D38" s="3"/>
      <c r="E38" s="3"/>
      <c r="F38" s="3"/>
      <c r="G38" s="3"/>
      <c r="H38" s="3"/>
      <c r="I38" s="3"/>
      <c r="J38" s="3"/>
      <c r="K38" s="3"/>
      <c r="L38" s="3"/>
      <c r="M38" s="2"/>
      <c r="N38" s="2"/>
    </row>
    <row r="39" spans="1:16" ht="32" customHeight="1">
      <c r="A39" s="2"/>
      <c r="B39" s="2"/>
      <c r="C39" s="117" t="s">
        <v>43</v>
      </c>
      <c r="D39" s="118"/>
      <c r="E39" s="118"/>
      <c r="F39" s="118"/>
      <c r="G39" s="118"/>
      <c r="H39" s="118"/>
      <c r="I39" s="118"/>
      <c r="J39" s="118"/>
      <c r="K39" s="118"/>
      <c r="L39" s="118"/>
      <c r="M39" s="2"/>
      <c r="N39" s="2"/>
    </row>
    <row r="40" spans="1:16" ht="20" customHeight="1">
      <c r="A40" s="2"/>
      <c r="B40" s="2"/>
      <c r="C40" s="2"/>
      <c r="D40" s="3"/>
      <c r="E40" s="3"/>
      <c r="F40" s="3"/>
      <c r="G40" s="3"/>
      <c r="H40" s="3"/>
      <c r="I40" s="3"/>
      <c r="J40" s="3"/>
      <c r="K40" s="3"/>
      <c r="L40" s="3"/>
      <c r="M40" s="2"/>
      <c r="N40" s="2"/>
    </row>
    <row r="41" spans="1:16" ht="32" customHeight="1">
      <c r="A41" s="2"/>
      <c r="B41" s="2"/>
      <c r="C41" s="117" t="s">
        <v>44</v>
      </c>
      <c r="D41" s="118"/>
      <c r="E41" s="118"/>
      <c r="F41" s="118"/>
      <c r="G41" s="118"/>
      <c r="H41" s="118"/>
      <c r="I41" s="118"/>
      <c r="J41" s="118"/>
      <c r="K41" s="118"/>
      <c r="L41" s="118"/>
      <c r="M41" s="2"/>
      <c r="N41" s="2"/>
    </row>
    <row r="42" spans="1:16" ht="20" customHeight="1">
      <c r="A42" s="2"/>
      <c r="B42" s="2"/>
      <c r="C42" s="2"/>
      <c r="D42" s="3"/>
      <c r="E42" s="3"/>
      <c r="F42" s="3"/>
      <c r="G42" s="3"/>
      <c r="H42" s="3"/>
      <c r="I42" s="3"/>
      <c r="J42" s="3"/>
      <c r="K42" s="3"/>
      <c r="L42" s="3"/>
      <c r="M42" s="2"/>
      <c r="N42" s="2"/>
    </row>
    <row r="43" spans="1:16" ht="20" customHeight="1">
      <c r="A43" s="2"/>
      <c r="B43" s="2"/>
      <c r="C43" s="2"/>
      <c r="D43" s="3"/>
      <c r="E43" s="3"/>
      <c r="F43" s="3"/>
      <c r="G43" s="3"/>
      <c r="H43" s="3"/>
      <c r="I43" s="3"/>
      <c r="J43" s="3"/>
      <c r="K43" s="3"/>
      <c r="L43" s="3"/>
      <c r="M43" s="2"/>
      <c r="N43" s="2"/>
    </row>
    <row r="44" spans="1:16" ht="20" customHeight="1">
      <c r="A44" s="2"/>
      <c r="B44" s="2"/>
      <c r="C44" s="2"/>
      <c r="D44" s="3"/>
      <c r="E44" s="3"/>
      <c r="F44" s="3"/>
      <c r="G44" s="3"/>
      <c r="H44" s="3"/>
      <c r="I44" s="3"/>
      <c r="J44" s="3"/>
      <c r="K44" s="3"/>
      <c r="L44" s="3"/>
      <c r="M44" s="2"/>
      <c r="N44" s="2" t="s">
        <v>45</v>
      </c>
      <c r="O44" t="s">
        <v>35</v>
      </c>
      <c r="P44" t="s">
        <v>36</v>
      </c>
    </row>
    <row r="45" spans="1:16" ht="20" customHeight="1">
      <c r="A45" s="2"/>
      <c r="B45" s="2"/>
      <c r="C45" s="2"/>
      <c r="D45" s="3"/>
      <c r="E45" s="3"/>
      <c r="F45" s="3"/>
      <c r="G45" s="3"/>
      <c r="H45" s="3"/>
      <c r="I45" s="3"/>
      <c r="J45" s="3"/>
      <c r="K45" s="3"/>
      <c r="L45" s="3"/>
      <c r="M45" s="2"/>
      <c r="N45" s="2" t="str">
        <f>D27</f>
        <v>FY2023A</v>
      </c>
      <c r="O45" s="39">
        <f>D30</f>
        <v>0.18702820818434648</v>
      </c>
      <c r="P45" s="39">
        <f>D31</f>
        <v>0.17268573698847842</v>
      </c>
    </row>
    <row r="46" spans="1:16" ht="20" customHeight="1">
      <c r="A46" s="2"/>
      <c r="B46" s="2"/>
      <c r="C46" s="2"/>
      <c r="D46" s="3"/>
      <c r="E46" s="3"/>
      <c r="F46" s="3"/>
      <c r="G46" s="3"/>
      <c r="H46" s="3"/>
      <c r="I46" s="3"/>
      <c r="J46" s="3"/>
      <c r="K46" s="3"/>
      <c r="L46" s="3"/>
      <c r="M46" s="2"/>
      <c r="N46" s="2" t="str">
        <f>E27</f>
        <v>FY2024A</v>
      </c>
      <c r="O46" s="39">
        <f>E30</f>
        <v>0.17991258422873793</v>
      </c>
      <c r="P46" s="39">
        <f>E31</f>
        <v>0.18499362593334548</v>
      </c>
    </row>
    <row r="47" spans="1:16" ht="20" customHeight="1">
      <c r="A47" s="2"/>
      <c r="B47" s="2"/>
      <c r="C47" s="2"/>
      <c r="D47" s="3"/>
      <c r="E47" s="3"/>
      <c r="F47" s="3"/>
      <c r="G47" s="3"/>
      <c r="H47" s="3"/>
      <c r="I47" s="3"/>
      <c r="J47" s="3"/>
      <c r="K47" s="3"/>
      <c r="L47" s="3"/>
      <c r="M47" s="2"/>
      <c r="N47" s="2" t="str">
        <f>F27</f>
        <v>FY2025A</v>
      </c>
      <c r="O47" s="39">
        <f>F30</f>
        <v>0.17577352446020827</v>
      </c>
      <c r="P47" s="39">
        <f>F31</f>
        <v>0.16132459423677289</v>
      </c>
    </row>
    <row r="48" spans="1:16" ht="20" customHeight="1">
      <c r="A48" s="2"/>
      <c r="B48" s="2"/>
      <c r="C48" s="2"/>
      <c r="D48" s="3"/>
      <c r="E48" s="3"/>
      <c r="F48" s="3"/>
      <c r="G48" s="3"/>
      <c r="H48" s="3"/>
      <c r="I48" s="3"/>
      <c r="J48" s="3"/>
      <c r="K48" s="3"/>
      <c r="L48" s="3"/>
      <c r="M48" s="2"/>
      <c r="N48" s="2" t="str">
        <f>G27</f>
        <v>FY2026A</v>
      </c>
      <c r="O48" s="39">
        <f>G30</f>
        <v>0.18529842203642793</v>
      </c>
      <c r="P48" s="39">
        <f>G31</f>
        <v>0.17280802167707535</v>
      </c>
    </row>
    <row r="49" spans="1:16" ht="20" customHeight="1">
      <c r="A49" s="2"/>
      <c r="B49" s="2"/>
      <c r="C49" s="2"/>
      <c r="D49" s="3"/>
      <c r="E49" s="3"/>
      <c r="F49" s="3"/>
      <c r="G49" s="3"/>
      <c r="H49" s="3"/>
      <c r="I49" s="3"/>
      <c r="J49" s="3"/>
      <c r="K49" s="3"/>
      <c r="L49" s="3"/>
      <c r="M49" s="2"/>
      <c r="N49" s="2" t="str">
        <f>H27</f>
        <v>FY2027E</v>
      </c>
      <c r="O49" s="39">
        <f>H30</f>
        <v>0.18334838618749855</v>
      </c>
      <c r="P49" s="39">
        <f>H31</f>
        <v>0.17175806697505039</v>
      </c>
    </row>
    <row r="50" spans="1:16" ht="20" customHeight="1">
      <c r="A50" s="2"/>
      <c r="B50" s="2"/>
      <c r="C50" s="2"/>
      <c r="D50" s="3"/>
      <c r="E50" s="3"/>
      <c r="F50" s="3"/>
      <c r="G50" s="3"/>
      <c r="H50" s="3"/>
      <c r="I50" s="3"/>
      <c r="J50" s="3"/>
      <c r="K50" s="3"/>
      <c r="L50" s="3"/>
      <c r="M50" s="2"/>
      <c r="N50" s="2" t="str">
        <f>I27</f>
        <v>FY2028E</v>
      </c>
      <c r="O50" s="39">
        <f>I30</f>
        <v>0.18437695183519906</v>
      </c>
      <c r="P50" s="39">
        <f>I31</f>
        <v>0.17445064869088914</v>
      </c>
    </row>
    <row r="51" spans="1:16" ht="20" customHeight="1">
      <c r="A51" s="2"/>
      <c r="B51" s="2"/>
      <c r="C51" s="2"/>
      <c r="D51" s="3"/>
      <c r="E51" s="3"/>
      <c r="F51" s="3"/>
      <c r="G51" s="3"/>
      <c r="H51" s="3"/>
      <c r="I51" s="3"/>
      <c r="J51" s="3"/>
      <c r="K51" s="3"/>
      <c r="L51" s="3"/>
      <c r="M51" s="2"/>
      <c r="N51" s="2" t="str">
        <f>J27</f>
        <v>FY2029E</v>
      </c>
      <c r="O51" s="39">
        <f>J30</f>
        <v>0.18490002834939054</v>
      </c>
      <c r="P51" s="39">
        <f>J31</f>
        <v>0.17563424056793231</v>
      </c>
    </row>
    <row r="52" spans="1:16" ht="20" customHeight="1">
      <c r="A52" s="2"/>
      <c r="B52" s="2"/>
      <c r="C52" s="2"/>
      <c r="D52" s="3"/>
      <c r="E52" s="3"/>
      <c r="F52" s="3"/>
      <c r="G52" s="3"/>
      <c r="H52" s="3"/>
      <c r="I52" s="3"/>
      <c r="J52" s="3"/>
      <c r="K52" s="3"/>
      <c r="L52" s="3"/>
      <c r="M52" s="2"/>
      <c r="N52" s="2" t="str">
        <f>K27</f>
        <v>FY2030E</v>
      </c>
      <c r="O52" s="39">
        <f>K30</f>
        <v>0.18491761045544122</v>
      </c>
      <c r="P52" s="39">
        <f>K31</f>
        <v>0.17633022384827424</v>
      </c>
    </row>
    <row r="53" spans="1:16" ht="20" customHeight="1">
      <c r="A53" s="2"/>
      <c r="B53" s="2"/>
      <c r="C53" s="2"/>
      <c r="D53" s="3"/>
      <c r="E53" s="3"/>
      <c r="F53" s="3"/>
      <c r="G53" s="3"/>
      <c r="H53" s="3"/>
      <c r="I53" s="3"/>
      <c r="J53" s="3"/>
      <c r="K53" s="3"/>
      <c r="L53" s="3"/>
      <c r="M53" s="2"/>
      <c r="N53" s="2" t="str">
        <f>L27</f>
        <v>FY2031E</v>
      </c>
      <c r="O53" s="39">
        <f>L30</f>
        <v>0.18542966835911232</v>
      </c>
      <c r="P53" s="39">
        <f>L31</f>
        <v>0.17743493476139235</v>
      </c>
    </row>
    <row r="54" spans="1:16" ht="20" customHeight="1">
      <c r="A54" s="2"/>
      <c r="B54" s="2"/>
      <c r="C54" s="2"/>
      <c r="D54" s="3"/>
      <c r="E54" s="3"/>
      <c r="F54" s="3"/>
      <c r="G54" s="3"/>
      <c r="H54" s="3"/>
      <c r="I54" s="3"/>
      <c r="J54" s="3"/>
      <c r="K54" s="3"/>
      <c r="L54" s="3"/>
      <c r="M54" s="2"/>
      <c r="N54" s="2"/>
    </row>
    <row r="55" spans="1:16" ht="20" customHeight="1">
      <c r="A55" s="2"/>
      <c r="B55" s="2"/>
      <c r="C55" s="2"/>
      <c r="D55" s="3"/>
      <c r="E55" s="3"/>
      <c r="F55" s="3"/>
      <c r="G55" s="3"/>
      <c r="H55" s="3"/>
      <c r="I55" s="3"/>
      <c r="J55" s="3"/>
      <c r="K55" s="3"/>
      <c r="L55" s="3"/>
      <c r="M55" s="2"/>
      <c r="N55" s="2"/>
    </row>
    <row r="56" spans="1:16" ht="20" customHeight="1">
      <c r="A56" s="2"/>
      <c r="B56" s="2"/>
      <c r="C56" s="2"/>
      <c r="D56" s="3"/>
      <c r="E56" s="3"/>
      <c r="F56" s="3"/>
      <c r="G56" s="3"/>
      <c r="H56" s="3"/>
      <c r="I56" s="3"/>
      <c r="J56" s="3"/>
      <c r="K56" s="3"/>
      <c r="L56" s="3"/>
      <c r="M56" s="2"/>
      <c r="N56" s="2"/>
    </row>
    <row r="57" spans="1:16" ht="20" customHeight="1">
      <c r="A57" s="2"/>
      <c r="B57" s="2"/>
      <c r="C57" s="2"/>
      <c r="D57" s="3"/>
      <c r="E57" s="3"/>
      <c r="F57" s="3"/>
      <c r="G57" s="3"/>
      <c r="H57" s="3"/>
      <c r="I57" s="3"/>
      <c r="J57" s="3"/>
      <c r="K57" s="3"/>
      <c r="L57" s="3"/>
      <c r="M57" s="2"/>
      <c r="N57" s="2"/>
    </row>
    <row r="58" spans="1:16" ht="20" customHeight="1">
      <c r="A58" s="2"/>
      <c r="B58" s="2"/>
      <c r="C58" s="2"/>
      <c r="D58" s="3"/>
      <c r="E58" s="3"/>
      <c r="F58" s="3"/>
      <c r="G58" s="3"/>
      <c r="H58" s="3"/>
      <c r="I58" s="3"/>
      <c r="J58" s="3"/>
      <c r="K58" s="3"/>
      <c r="L58" s="3"/>
      <c r="M58" s="2"/>
      <c r="N58" s="2"/>
    </row>
    <row r="59" spans="1:16" ht="20" customHeight="1">
      <c r="A59" s="2"/>
      <c r="B59" s="2"/>
      <c r="C59" s="2"/>
      <c r="D59" s="3"/>
      <c r="E59" s="3"/>
      <c r="F59" s="3"/>
      <c r="G59" s="3"/>
      <c r="H59" s="3"/>
      <c r="I59" s="3"/>
      <c r="J59" s="3"/>
      <c r="K59" s="3"/>
      <c r="L59" s="3"/>
      <c r="M59" s="2"/>
      <c r="N59" s="2"/>
    </row>
    <row r="60" spans="1:16" ht="32" customHeight="1">
      <c r="A60" s="2"/>
      <c r="B60" s="2"/>
      <c r="C60" s="117" t="s">
        <v>46</v>
      </c>
      <c r="D60" s="118"/>
      <c r="E60" s="118"/>
      <c r="F60" s="118"/>
      <c r="G60" s="118"/>
      <c r="H60" s="118"/>
      <c r="I60" s="118"/>
      <c r="J60" s="118"/>
      <c r="K60" s="118"/>
      <c r="L60" s="118"/>
      <c r="M60" s="2"/>
      <c r="N60" s="2"/>
    </row>
    <row r="61" spans="1:16" ht="20" customHeight="1">
      <c r="A61" s="2"/>
      <c r="B61" s="2"/>
      <c r="C61" s="2"/>
      <c r="D61" s="3"/>
      <c r="E61" s="3"/>
      <c r="F61" s="3"/>
      <c r="G61" s="3"/>
      <c r="H61" s="3"/>
      <c r="I61" s="3"/>
      <c r="J61" s="3"/>
      <c r="K61" s="3"/>
      <c r="L61" s="3"/>
      <c r="M61" s="2"/>
      <c r="N61" s="2"/>
    </row>
    <row r="62" spans="1:16" ht="32" customHeight="1">
      <c r="A62" s="2"/>
      <c r="B62" s="2"/>
      <c r="C62" s="117" t="s">
        <v>47</v>
      </c>
      <c r="D62" s="118"/>
      <c r="E62" s="118"/>
      <c r="F62" s="118"/>
      <c r="G62" s="118"/>
      <c r="H62" s="118"/>
      <c r="I62" s="118"/>
      <c r="J62" s="118"/>
      <c r="K62" s="118"/>
      <c r="L62" s="118"/>
      <c r="M62" s="2"/>
      <c r="N62" s="2"/>
    </row>
    <row r="63" spans="1:16" ht="20" customHeight="1">
      <c r="A63" s="2"/>
      <c r="B63" s="2"/>
      <c r="C63" s="2"/>
      <c r="D63" s="3"/>
      <c r="E63" s="3"/>
      <c r="F63" s="3"/>
      <c r="G63" s="3"/>
      <c r="H63" s="3"/>
      <c r="I63" s="3"/>
      <c r="J63" s="3"/>
      <c r="K63" s="3"/>
      <c r="L63" s="3"/>
      <c r="M63" s="2"/>
      <c r="N63" s="2"/>
    </row>
    <row r="64" spans="1:16" ht="32" customHeight="1">
      <c r="A64" s="2"/>
      <c r="B64" s="2"/>
      <c r="C64" s="117" t="s">
        <v>48</v>
      </c>
      <c r="D64" s="118"/>
      <c r="E64" s="118"/>
      <c r="F64" s="118"/>
      <c r="G64" s="118"/>
      <c r="H64" s="118"/>
      <c r="I64" s="118"/>
      <c r="J64" s="118"/>
      <c r="K64" s="118"/>
      <c r="L64" s="118"/>
      <c r="M64" s="2"/>
      <c r="N64" s="2"/>
    </row>
    <row r="65" spans="1:14" ht="20" customHeight="1">
      <c r="A65" s="2"/>
      <c r="B65" s="2"/>
      <c r="C65" s="2"/>
      <c r="D65" s="3"/>
      <c r="E65" s="3"/>
      <c r="F65" s="3"/>
      <c r="G65" s="3"/>
      <c r="H65" s="3"/>
      <c r="I65" s="3"/>
      <c r="J65" s="3"/>
      <c r="K65" s="3"/>
      <c r="L65" s="3"/>
      <c r="M65" s="2"/>
      <c r="N65" s="2"/>
    </row>
    <row r="66" spans="1:14" ht="32" customHeight="1">
      <c r="A66" s="2"/>
      <c r="B66" s="2"/>
      <c r="C66" s="117" t="s">
        <v>49</v>
      </c>
      <c r="D66" s="118"/>
      <c r="E66" s="118"/>
      <c r="F66" s="118"/>
      <c r="G66" s="118"/>
      <c r="H66" s="118"/>
      <c r="I66" s="118"/>
      <c r="J66" s="118"/>
      <c r="K66" s="118"/>
      <c r="L66" s="118"/>
      <c r="M66" s="2"/>
      <c r="N66" s="2"/>
    </row>
    <row r="67" spans="1:14" ht="20" customHeight="1">
      <c r="A67" s="2"/>
      <c r="B67" s="2"/>
      <c r="C67" s="2"/>
      <c r="D67" s="3"/>
      <c r="E67" s="3"/>
      <c r="F67" s="3"/>
      <c r="G67" s="3"/>
      <c r="H67" s="3"/>
      <c r="I67" s="3"/>
      <c r="J67" s="3"/>
      <c r="K67" s="3"/>
      <c r="L67" s="3"/>
      <c r="M67" s="2"/>
      <c r="N67" s="2"/>
    </row>
  </sheetData>
  <mergeCells count="17">
    <mergeCell ref="D5:G5"/>
    <mergeCell ref="D6:G6"/>
    <mergeCell ref="D7:G7"/>
    <mergeCell ref="D8:G8"/>
    <mergeCell ref="D9:G9"/>
    <mergeCell ref="D10:G10"/>
    <mergeCell ref="D11:G11"/>
    <mergeCell ref="D12:G12"/>
    <mergeCell ref="C14:L14"/>
    <mergeCell ref="C16:L16"/>
    <mergeCell ref="C64:L64"/>
    <mergeCell ref="C66:L66"/>
    <mergeCell ref="C23:L23"/>
    <mergeCell ref="C39:L39"/>
    <mergeCell ref="C41:L41"/>
    <mergeCell ref="C60:L60"/>
    <mergeCell ref="C62:L62"/>
  </mergeCells>
  <hyperlinks>
    <hyperlink ref="C18" location="'01 Assumptions'!C2" display="1. Review the key forecast drivers" xr:uid="{00000000-0004-0000-0000-000000000000}"/>
    <hyperlink ref="C19" location="'02 Model'!C2" display="2. Read the three financial statements" xr:uid="{00000000-0004-0000-0000-000001000000}"/>
    <hyperlink ref="C20" location="'03 Schedules'!C2" display="3. Trace the supporting schedules" xr:uid="{00000000-0004-0000-0000-000002000000}"/>
    <hyperlink ref="C21" location="'04 Audit &amp; Sources'!C2" display="4. Review checks, assumptions and sources" xr:uid="{00000000-0004-0000-0000-000003000000}"/>
  </hyperlinks>
  <printOptions horizontalCentered="1"/>
  <pageMargins left="0.25" right="0.25" top="0.35" bottom="0.35" header="0.15" footer="0.15"/>
  <pageSetup paperSize="8" fitToHeight="0" orientation="landscape"/>
  <headerFooter>
    <oddFooter>&amp;LObinna Okey-Udeji | NEXT plc&amp;CInformation through 5 Aug 2026&amp;RPage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728B"/>
    <pageSetUpPr fitToPage="1"/>
  </sheetPr>
  <dimension ref="A1:N56"/>
  <sheetViews>
    <sheetView showGridLines="0" tabSelected="1" topLeftCell="C1" zoomScale="85" zoomScaleNormal="100" workbookViewId="0">
      <pane xSplit="3" ySplit="6" topLeftCell="F26" activePane="bottomRight" state="frozen"/>
      <selection pane="topRight"/>
      <selection pane="bottomLeft"/>
      <selection pane="bottomRight"/>
    </sheetView>
  </sheetViews>
  <sheetFormatPr baseColWidth="10" defaultColWidth="8.83203125" defaultRowHeight="14"/>
  <cols>
    <col min="1" max="2" width="2" customWidth="1"/>
    <col min="3" max="3" width="53" customWidth="1"/>
    <col min="4" max="12" width="13" customWidth="1"/>
    <col min="13" max="13" width="3" customWidth="1"/>
    <col min="14" max="14" width="24" customWidth="1"/>
  </cols>
  <sheetData>
    <row r="1" spans="1:14" ht="20" customHeight="1">
      <c r="A1" s="2"/>
      <c r="B1" s="2"/>
      <c r="C1" s="2"/>
      <c r="D1" s="3"/>
      <c r="E1" s="3"/>
      <c r="F1" s="3"/>
      <c r="G1" s="3"/>
      <c r="H1" s="3"/>
      <c r="I1" s="3"/>
      <c r="J1" s="3"/>
      <c r="K1" s="3"/>
      <c r="L1" s="3"/>
      <c r="M1" s="2"/>
      <c r="N1" s="2"/>
    </row>
    <row r="2" spans="1:14" ht="20" customHeight="1">
      <c r="A2" s="2"/>
      <c r="B2" s="2"/>
      <c r="C2" s="4" t="s">
        <v>50</v>
      </c>
      <c r="D2" s="5"/>
      <c r="E2" s="5"/>
      <c r="F2" s="5"/>
      <c r="G2" s="5"/>
      <c r="H2" s="5"/>
      <c r="I2" s="5"/>
      <c r="J2" s="5"/>
      <c r="K2" s="5"/>
      <c r="L2" s="5"/>
      <c r="M2" s="2"/>
      <c r="N2" s="2"/>
    </row>
    <row r="3" spans="1:14" ht="20" customHeight="1">
      <c r="A3" s="2"/>
      <c r="B3" s="2"/>
      <c r="C3" s="2"/>
      <c r="D3" s="3"/>
      <c r="E3" s="3"/>
      <c r="F3" s="3"/>
      <c r="G3" s="3"/>
      <c r="H3" s="3"/>
      <c r="I3" s="3"/>
      <c r="J3" s="3"/>
      <c r="K3" s="3"/>
      <c r="L3" s="3"/>
      <c r="M3" s="2"/>
      <c r="N3" s="2"/>
    </row>
    <row r="4" spans="1:14" ht="20" customHeight="1">
      <c r="A4" s="2"/>
      <c r="B4" s="2"/>
      <c r="C4" s="10" t="s">
        <v>51</v>
      </c>
      <c r="D4" s="3"/>
      <c r="E4" s="3"/>
      <c r="F4" s="3"/>
      <c r="G4" s="3"/>
      <c r="H4" s="3"/>
      <c r="I4" s="3"/>
      <c r="J4" s="3"/>
      <c r="K4" s="3"/>
      <c r="L4" s="3"/>
      <c r="M4" s="2"/>
      <c r="N4" s="2"/>
    </row>
    <row r="5" spans="1:14" ht="20" customHeight="1">
      <c r="A5" s="2"/>
      <c r="B5" s="2"/>
      <c r="C5" s="2" t="s">
        <v>52</v>
      </c>
      <c r="D5" s="3"/>
      <c r="E5" s="3"/>
      <c r="F5" s="3"/>
      <c r="G5" s="3"/>
      <c r="H5" s="3"/>
      <c r="I5" s="3"/>
      <c r="J5" s="3"/>
      <c r="K5" s="3"/>
      <c r="L5" s="3"/>
      <c r="M5" s="2"/>
      <c r="N5" s="2"/>
    </row>
    <row r="6" spans="1:14" ht="23" customHeight="1">
      <c r="A6" s="2"/>
      <c r="B6" s="2"/>
      <c r="C6" s="8"/>
      <c r="D6" s="40" t="s">
        <v>24</v>
      </c>
      <c r="E6" s="40" t="s">
        <v>25</v>
      </c>
      <c r="F6" s="40" t="s">
        <v>26</v>
      </c>
      <c r="G6" s="40" t="s">
        <v>27</v>
      </c>
      <c r="H6" s="9" t="s">
        <v>28</v>
      </c>
      <c r="I6" s="9" t="s">
        <v>29</v>
      </c>
      <c r="J6" s="9" t="s">
        <v>30</v>
      </c>
      <c r="K6" s="9" t="s">
        <v>31</v>
      </c>
      <c r="L6" s="9" t="s">
        <v>32</v>
      </c>
      <c r="M6" s="2"/>
      <c r="N6" s="2"/>
    </row>
    <row r="7" spans="1:14" ht="20" customHeight="1">
      <c r="A7" s="2"/>
      <c r="B7" s="2"/>
      <c r="C7" s="2"/>
      <c r="D7" s="3"/>
      <c r="E7" s="3"/>
      <c r="F7" s="3"/>
      <c r="G7" s="3"/>
      <c r="H7" s="24"/>
      <c r="I7" s="24"/>
      <c r="J7" s="24"/>
      <c r="K7" s="24"/>
      <c r="L7" s="24"/>
      <c r="M7" s="2"/>
      <c r="N7" s="2"/>
    </row>
    <row r="8" spans="1:14" ht="25" customHeight="1">
      <c r="A8" s="2"/>
      <c r="B8" s="2"/>
      <c r="C8" s="6" t="s">
        <v>53</v>
      </c>
      <c r="D8" s="7"/>
      <c r="E8" s="7"/>
      <c r="F8" s="7"/>
      <c r="G8" s="7"/>
      <c r="H8" s="7"/>
      <c r="I8" s="7"/>
      <c r="J8" s="7"/>
      <c r="K8" s="7"/>
      <c r="L8" s="7"/>
      <c r="M8" s="2"/>
      <c r="N8" s="2"/>
    </row>
    <row r="9" spans="1:14" ht="20" customHeight="1">
      <c r="A9" s="2"/>
      <c r="B9" s="2"/>
      <c r="C9" s="2" t="s">
        <v>54</v>
      </c>
      <c r="D9" s="3"/>
      <c r="E9" s="3"/>
      <c r="F9" s="3"/>
      <c r="G9" s="3"/>
      <c r="H9" s="33">
        <v>7.0000000000000007E-2</v>
      </c>
      <c r="I9" s="33">
        <v>0.06</v>
      </c>
      <c r="J9" s="33">
        <v>5.5E-2</v>
      </c>
      <c r="K9" s="33">
        <v>0.05</v>
      </c>
      <c r="L9" s="33">
        <v>4.4999999999999998E-2</v>
      </c>
      <c r="M9" s="2"/>
      <c r="N9" s="11" t="s">
        <v>55</v>
      </c>
    </row>
    <row r="10" spans="1:14" ht="20" customHeight="1">
      <c r="A10" s="2"/>
      <c r="B10" s="2"/>
      <c r="C10" s="2" t="s">
        <v>56</v>
      </c>
      <c r="D10" s="3"/>
      <c r="E10" s="3"/>
      <c r="F10" s="3"/>
      <c r="G10" s="3"/>
      <c r="H10" s="34">
        <v>0.55700000000000005</v>
      </c>
      <c r="I10" s="34">
        <v>0.55800000000000005</v>
      </c>
      <c r="J10" s="34">
        <v>0.55900000000000005</v>
      </c>
      <c r="K10" s="34">
        <v>0.56000000000000005</v>
      </c>
      <c r="L10" s="34">
        <v>0.56000000000000005</v>
      </c>
      <c r="M10" s="2"/>
      <c r="N10" s="11" t="s">
        <v>57</v>
      </c>
    </row>
    <row r="11" spans="1:14" ht="20" customHeight="1">
      <c r="A11" s="2"/>
      <c r="B11" s="2"/>
      <c r="C11" s="2" t="s">
        <v>58</v>
      </c>
      <c r="D11" s="3"/>
      <c r="E11" s="3"/>
      <c r="F11" s="3"/>
      <c r="G11" s="3"/>
      <c r="H11" s="34">
        <v>0.14799999999999999</v>
      </c>
      <c r="I11" s="34">
        <v>0.14699999999999999</v>
      </c>
      <c r="J11" s="34">
        <v>0.14649999999999999</v>
      </c>
      <c r="K11" s="34">
        <v>0.14599999999999999</v>
      </c>
      <c r="L11" s="34">
        <v>0.14599999999999999</v>
      </c>
      <c r="M11" s="2"/>
      <c r="N11" s="11" t="s">
        <v>59</v>
      </c>
    </row>
    <row r="12" spans="1:14" ht="20" customHeight="1">
      <c r="A12" s="2"/>
      <c r="B12" s="2"/>
      <c r="C12" s="2" t="s">
        <v>60</v>
      </c>
      <c r="D12" s="3"/>
      <c r="E12" s="3"/>
      <c r="F12" s="3"/>
      <c r="G12" s="3"/>
      <c r="H12" s="34">
        <v>0.11</v>
      </c>
      <c r="I12" s="34">
        <v>0.109</v>
      </c>
      <c r="J12" s="34">
        <v>0.108</v>
      </c>
      <c r="K12" s="34">
        <v>0.1075</v>
      </c>
      <c r="L12" s="34">
        <v>0.107</v>
      </c>
      <c r="M12" s="2"/>
      <c r="N12" s="11" t="s">
        <v>61</v>
      </c>
    </row>
    <row r="13" spans="1:14" ht="20" customHeight="1">
      <c r="A13" s="2"/>
      <c r="B13" s="2"/>
      <c r="C13" s="2" t="s">
        <v>62</v>
      </c>
      <c r="D13" s="3"/>
      <c r="E13" s="3"/>
      <c r="F13" s="3"/>
      <c r="G13" s="3"/>
      <c r="H13" s="29">
        <v>20</v>
      </c>
      <c r="I13" s="29">
        <v>21</v>
      </c>
      <c r="J13" s="29">
        <v>22</v>
      </c>
      <c r="K13" s="29">
        <v>23</v>
      </c>
      <c r="L13" s="29">
        <v>24</v>
      </c>
      <c r="M13" s="2"/>
      <c r="N13" s="11" t="s">
        <v>63</v>
      </c>
    </row>
    <row r="14" spans="1:14" ht="20" customHeight="1">
      <c r="A14" s="2"/>
      <c r="B14" s="2"/>
      <c r="C14" s="2" t="s">
        <v>64</v>
      </c>
      <c r="D14" s="3"/>
      <c r="E14" s="3"/>
      <c r="F14" s="3"/>
      <c r="G14" s="3"/>
      <c r="H14" s="29">
        <v>8</v>
      </c>
      <c r="I14" s="29">
        <v>8.5</v>
      </c>
      <c r="J14" s="29">
        <v>9</v>
      </c>
      <c r="K14" s="29">
        <v>9.5</v>
      </c>
      <c r="L14" s="29">
        <v>10</v>
      </c>
      <c r="M14" s="2"/>
      <c r="N14" s="11" t="s">
        <v>65</v>
      </c>
    </row>
    <row r="15" spans="1:14" ht="20" customHeight="1">
      <c r="A15" s="2"/>
      <c r="B15" s="2"/>
      <c r="C15" s="2"/>
      <c r="D15" s="3"/>
      <c r="E15" s="3"/>
      <c r="F15" s="3"/>
      <c r="G15" s="3"/>
      <c r="H15" s="24"/>
      <c r="I15" s="24"/>
      <c r="J15" s="24"/>
      <c r="K15" s="24"/>
      <c r="L15" s="24"/>
      <c r="M15" s="2"/>
      <c r="N15" s="2"/>
    </row>
    <row r="16" spans="1:14" ht="25" customHeight="1">
      <c r="A16" s="2"/>
      <c r="B16" s="2"/>
      <c r="C16" s="6" t="s">
        <v>66</v>
      </c>
      <c r="D16" s="7"/>
      <c r="E16" s="7"/>
      <c r="F16" s="7"/>
      <c r="G16" s="7"/>
      <c r="H16" s="7"/>
      <c r="I16" s="7"/>
      <c r="J16" s="7"/>
      <c r="K16" s="7"/>
      <c r="L16" s="7"/>
      <c r="M16" s="2"/>
      <c r="N16" s="2"/>
    </row>
    <row r="17" spans="1:14" ht="20" customHeight="1">
      <c r="A17" s="2"/>
      <c r="B17" s="2"/>
      <c r="C17" s="2" t="s">
        <v>67</v>
      </c>
      <c r="D17" s="3"/>
      <c r="E17" s="3"/>
      <c r="F17" s="3"/>
      <c r="G17" s="3"/>
      <c r="H17" s="29">
        <v>86</v>
      </c>
      <c r="I17" s="29">
        <v>86</v>
      </c>
      <c r="J17" s="29">
        <v>86</v>
      </c>
      <c r="K17" s="29">
        <v>86</v>
      </c>
      <c r="L17" s="29">
        <v>86</v>
      </c>
      <c r="M17" s="2"/>
      <c r="N17" s="11" t="s">
        <v>68</v>
      </c>
    </row>
    <row r="18" spans="1:14" ht="20" customHeight="1">
      <c r="A18" s="2"/>
      <c r="B18" s="2"/>
      <c r="C18" s="2" t="s">
        <v>69</v>
      </c>
      <c r="D18" s="3"/>
      <c r="E18" s="3"/>
      <c r="F18" s="3"/>
      <c r="G18" s="3"/>
      <c r="H18" s="29">
        <v>33</v>
      </c>
      <c r="I18" s="29">
        <v>33</v>
      </c>
      <c r="J18" s="29">
        <v>33</v>
      </c>
      <c r="K18" s="29">
        <v>33</v>
      </c>
      <c r="L18" s="29">
        <v>33</v>
      </c>
      <c r="M18" s="2"/>
      <c r="N18" s="11" t="s">
        <v>70</v>
      </c>
    </row>
    <row r="19" spans="1:14" ht="20" customHeight="1">
      <c r="A19" s="2"/>
      <c r="B19" s="2"/>
      <c r="C19" s="2" t="s">
        <v>71</v>
      </c>
      <c r="D19" s="3"/>
      <c r="E19" s="3"/>
      <c r="F19" s="3"/>
      <c r="G19" s="3"/>
      <c r="H19" s="53" t="s">
        <v>72</v>
      </c>
      <c r="I19" s="33">
        <v>0.02</v>
      </c>
      <c r="J19" s="33">
        <v>0.02</v>
      </c>
      <c r="K19" s="33">
        <v>0.02</v>
      </c>
      <c r="L19" s="33">
        <v>0.02</v>
      </c>
      <c r="M19" s="2"/>
      <c r="N19" s="11" t="s">
        <v>73</v>
      </c>
    </row>
    <row r="20" spans="1:14" ht="20" customHeight="1">
      <c r="A20" s="2"/>
      <c r="B20" s="2"/>
      <c r="C20" s="2" t="s">
        <v>74</v>
      </c>
      <c r="D20" s="3"/>
      <c r="E20" s="3"/>
      <c r="F20" s="3"/>
      <c r="G20" s="3"/>
      <c r="H20" s="33">
        <v>1.0999999999999999E-2</v>
      </c>
      <c r="I20" s="33">
        <v>1.0999999999999999E-2</v>
      </c>
      <c r="J20" s="33">
        <v>1.0999999999999999E-2</v>
      </c>
      <c r="K20" s="33">
        <v>1.0999999999999999E-2</v>
      </c>
      <c r="L20" s="33">
        <v>1.0999999999999999E-2</v>
      </c>
      <c r="M20" s="2"/>
      <c r="N20" s="11" t="s">
        <v>75</v>
      </c>
    </row>
    <row r="21" spans="1:14" ht="20" customHeight="1">
      <c r="A21" s="2"/>
      <c r="B21" s="2"/>
      <c r="C21" s="2" t="s">
        <v>76</v>
      </c>
      <c r="D21" s="3"/>
      <c r="E21" s="3"/>
      <c r="F21" s="3"/>
      <c r="G21" s="3"/>
      <c r="H21" s="33">
        <v>7.1999999999999995E-2</v>
      </c>
      <c r="I21" s="33">
        <v>7.1999999999999995E-2</v>
      </c>
      <c r="J21" s="33">
        <v>7.1999999999999995E-2</v>
      </c>
      <c r="K21" s="33">
        <v>7.1999999999999995E-2</v>
      </c>
      <c r="L21" s="33">
        <v>7.1999999999999995E-2</v>
      </c>
      <c r="M21" s="2"/>
      <c r="N21" s="11" t="s">
        <v>77</v>
      </c>
    </row>
    <row r="22" spans="1:14" ht="20" customHeight="1">
      <c r="A22" s="2"/>
      <c r="B22" s="2"/>
      <c r="C22" s="2"/>
      <c r="D22" s="3"/>
      <c r="E22" s="3"/>
      <c r="F22" s="3"/>
      <c r="G22" s="3"/>
      <c r="H22" s="24"/>
      <c r="I22" s="24"/>
      <c r="J22" s="24"/>
      <c r="K22" s="24"/>
      <c r="L22" s="24"/>
      <c r="M22" s="2"/>
      <c r="N22" s="2"/>
    </row>
    <row r="23" spans="1:14" ht="25" customHeight="1">
      <c r="A23" s="2"/>
      <c r="B23" s="2"/>
      <c r="C23" s="6" t="s">
        <v>78</v>
      </c>
      <c r="D23" s="7"/>
      <c r="E23" s="7"/>
      <c r="F23" s="7"/>
      <c r="G23" s="7"/>
      <c r="H23" s="7"/>
      <c r="I23" s="7"/>
      <c r="J23" s="7"/>
      <c r="K23" s="7"/>
      <c r="L23" s="7"/>
      <c r="M23" s="2"/>
      <c r="N23" s="2"/>
    </row>
    <row r="24" spans="1:14" ht="20" customHeight="1">
      <c r="A24" s="2"/>
      <c r="B24" s="2"/>
      <c r="C24" s="2" t="s">
        <v>79</v>
      </c>
      <c r="D24" s="3"/>
      <c r="E24" s="3"/>
      <c r="F24" s="3"/>
      <c r="G24" s="3"/>
      <c r="H24" s="29">
        <v>237</v>
      </c>
      <c r="I24" s="29">
        <v>252</v>
      </c>
      <c r="J24" s="29">
        <v>227</v>
      </c>
      <c r="K24" s="29">
        <v>289</v>
      </c>
      <c r="L24" s="29">
        <v>300</v>
      </c>
      <c r="M24" s="2"/>
      <c r="N24" s="11" t="s">
        <v>80</v>
      </c>
    </row>
    <row r="25" spans="1:14" ht="20" customHeight="1">
      <c r="A25" s="2"/>
      <c r="B25" s="2"/>
      <c r="C25" s="2" t="s">
        <v>81</v>
      </c>
      <c r="D25" s="3"/>
      <c r="E25" s="3"/>
      <c r="F25" s="3"/>
      <c r="G25" s="3"/>
      <c r="H25" s="29">
        <v>29</v>
      </c>
      <c r="I25" s="29">
        <v>32</v>
      </c>
      <c r="J25" s="29">
        <v>32</v>
      </c>
      <c r="K25" s="29">
        <v>32</v>
      </c>
      <c r="L25" s="29">
        <v>32</v>
      </c>
      <c r="M25" s="2"/>
      <c r="N25" s="11" t="s">
        <v>82</v>
      </c>
    </row>
    <row r="26" spans="1:14" ht="20" customHeight="1">
      <c r="A26" s="2"/>
      <c r="B26" s="2"/>
      <c r="C26" s="2"/>
      <c r="D26" s="3"/>
      <c r="E26" s="3"/>
      <c r="F26" s="3"/>
      <c r="G26" s="3"/>
      <c r="H26" s="24"/>
      <c r="I26" s="24"/>
      <c r="J26" s="24"/>
      <c r="K26" s="24"/>
      <c r="L26" s="24"/>
      <c r="M26" s="2"/>
      <c r="N26" s="2"/>
    </row>
    <row r="27" spans="1:14" ht="25" customHeight="1">
      <c r="A27" s="2"/>
      <c r="B27" s="2"/>
      <c r="C27" s="6" t="s">
        <v>83</v>
      </c>
      <c r="D27" s="7"/>
      <c r="E27" s="7"/>
      <c r="F27" s="7"/>
      <c r="G27" s="7"/>
      <c r="H27" s="7"/>
      <c r="I27" s="7"/>
      <c r="J27" s="7"/>
      <c r="K27" s="7"/>
      <c r="L27" s="7"/>
      <c r="M27" s="2"/>
      <c r="N27" s="2"/>
    </row>
    <row r="28" spans="1:14" ht="20" customHeight="1">
      <c r="A28" s="2"/>
      <c r="B28" s="2"/>
      <c r="C28" s="2" t="s">
        <v>84</v>
      </c>
      <c r="D28" s="3"/>
      <c r="E28" s="3"/>
      <c r="F28" s="3"/>
      <c r="G28" s="3"/>
      <c r="H28" s="29">
        <v>120</v>
      </c>
      <c r="I28" s="29">
        <v>125</v>
      </c>
      <c r="J28" s="29">
        <v>130</v>
      </c>
      <c r="K28" s="29">
        <v>135</v>
      </c>
      <c r="L28" s="29">
        <v>140</v>
      </c>
      <c r="M28" s="2"/>
      <c r="N28" s="11" t="s">
        <v>85</v>
      </c>
    </row>
    <row r="29" spans="1:14" ht="20" customHeight="1">
      <c r="A29" s="2"/>
      <c r="B29" s="2"/>
      <c r="C29" s="2" t="s">
        <v>86</v>
      </c>
      <c r="D29" s="3"/>
      <c r="E29" s="3"/>
      <c r="F29" s="3"/>
      <c r="G29" s="3"/>
      <c r="H29" s="29">
        <v>225</v>
      </c>
      <c r="I29" s="29">
        <v>230</v>
      </c>
      <c r="J29" s="29">
        <v>235</v>
      </c>
      <c r="K29" s="29">
        <v>240</v>
      </c>
      <c r="L29" s="29">
        <v>245</v>
      </c>
      <c r="M29" s="2"/>
      <c r="N29" s="11" t="s">
        <v>87</v>
      </c>
    </row>
    <row r="30" spans="1:14" ht="20" customHeight="1">
      <c r="A30" s="2"/>
      <c r="B30" s="2"/>
      <c r="C30" s="2" t="s">
        <v>88</v>
      </c>
      <c r="D30" s="3"/>
      <c r="E30" s="3"/>
      <c r="F30" s="3"/>
      <c r="G30" s="3"/>
      <c r="H30" s="33">
        <v>5.5E-2</v>
      </c>
      <c r="I30" s="33">
        <v>5.2999999999999999E-2</v>
      </c>
      <c r="J30" s="33">
        <v>5.0999999999999997E-2</v>
      </c>
      <c r="K30" s="33">
        <v>0.05</v>
      </c>
      <c r="L30" s="33">
        <v>0.05</v>
      </c>
      <c r="M30" s="2"/>
      <c r="N30" s="11" t="s">
        <v>89</v>
      </c>
    </row>
    <row r="31" spans="1:14" ht="20" customHeight="1">
      <c r="A31" s="2"/>
      <c r="B31" s="2"/>
      <c r="C31" s="2"/>
      <c r="D31" s="3"/>
      <c r="E31" s="3"/>
      <c r="F31" s="3"/>
      <c r="G31" s="3"/>
      <c r="H31" s="24"/>
      <c r="I31" s="24"/>
      <c r="J31" s="24"/>
      <c r="K31" s="24"/>
      <c r="L31" s="24"/>
      <c r="M31" s="2"/>
      <c r="N31" s="2"/>
    </row>
    <row r="32" spans="1:14" ht="25" customHeight="1">
      <c r="A32" s="2"/>
      <c r="B32" s="2"/>
      <c r="C32" s="6" t="s">
        <v>90</v>
      </c>
      <c r="D32" s="7"/>
      <c r="E32" s="7"/>
      <c r="F32" s="7"/>
      <c r="G32" s="7"/>
      <c r="H32" s="7"/>
      <c r="I32" s="7"/>
      <c r="J32" s="7"/>
      <c r="K32" s="7"/>
      <c r="L32" s="7"/>
      <c r="M32" s="2"/>
      <c r="N32" s="2"/>
    </row>
    <row r="33" spans="1:14" ht="20" customHeight="1">
      <c r="A33" s="2"/>
      <c r="B33" s="2"/>
      <c r="C33" s="2" t="s">
        <v>91</v>
      </c>
      <c r="D33" s="3"/>
      <c r="E33" s="3"/>
      <c r="F33" s="3"/>
      <c r="G33" s="3"/>
      <c r="H33" s="54" t="s">
        <v>72</v>
      </c>
      <c r="I33" s="29">
        <v>100</v>
      </c>
      <c r="J33" s="29">
        <v>100</v>
      </c>
      <c r="K33" s="29">
        <v>100</v>
      </c>
      <c r="L33" s="29">
        <v>100</v>
      </c>
      <c r="M33" s="2"/>
      <c r="N33" s="11" t="s">
        <v>92</v>
      </c>
    </row>
    <row r="34" spans="1:14" ht="20" customHeight="1">
      <c r="A34" s="2"/>
      <c r="B34" s="2"/>
      <c r="C34" s="2" t="s">
        <v>93</v>
      </c>
      <c r="D34" s="3"/>
      <c r="E34" s="3"/>
      <c r="F34" s="3"/>
      <c r="G34" s="3"/>
      <c r="H34" s="29">
        <v>96</v>
      </c>
      <c r="I34" s="29">
        <v>96</v>
      </c>
      <c r="J34" s="29">
        <v>96</v>
      </c>
      <c r="K34" s="29">
        <v>96</v>
      </c>
      <c r="L34" s="29">
        <v>96</v>
      </c>
      <c r="M34" s="2"/>
      <c r="N34" s="11" t="s">
        <v>94</v>
      </c>
    </row>
    <row r="35" spans="1:14" ht="20" customHeight="1">
      <c r="A35" s="2"/>
      <c r="B35" s="2"/>
      <c r="C35" s="2" t="s">
        <v>95</v>
      </c>
      <c r="D35" s="3"/>
      <c r="E35" s="3"/>
      <c r="F35" s="3"/>
      <c r="G35" s="3"/>
      <c r="H35" s="33">
        <v>0.05</v>
      </c>
      <c r="I35" s="33">
        <v>0.05</v>
      </c>
      <c r="J35" s="33">
        <v>0.05</v>
      </c>
      <c r="K35" s="33">
        <v>0.05</v>
      </c>
      <c r="L35" s="33">
        <v>0.05</v>
      </c>
      <c r="M35" s="2"/>
      <c r="N35" s="11" t="s">
        <v>96</v>
      </c>
    </row>
    <row r="36" spans="1:14" ht="20" customHeight="1">
      <c r="A36" s="2"/>
      <c r="B36" s="2"/>
      <c r="C36" s="2" t="s">
        <v>97</v>
      </c>
      <c r="D36" s="3"/>
      <c r="E36" s="3"/>
      <c r="F36" s="3"/>
      <c r="G36" s="3"/>
      <c r="H36" s="34">
        <v>3.5000000000000003E-2</v>
      </c>
      <c r="I36" s="34">
        <v>3.2500000000000001E-2</v>
      </c>
      <c r="J36" s="34">
        <v>0.03</v>
      </c>
      <c r="K36" s="34">
        <v>0.03</v>
      </c>
      <c r="L36" s="34">
        <v>0.03</v>
      </c>
      <c r="M36" s="2"/>
      <c r="N36" s="11" t="s">
        <v>98</v>
      </c>
    </row>
    <row r="37" spans="1:14" ht="20" customHeight="1">
      <c r="A37" s="2"/>
      <c r="B37" s="2"/>
      <c r="C37" s="2" t="s">
        <v>99</v>
      </c>
      <c r="D37" s="3"/>
      <c r="E37" s="3"/>
      <c r="F37" s="3"/>
      <c r="G37" s="3"/>
      <c r="H37" s="53" t="s">
        <v>72</v>
      </c>
      <c r="I37" s="33">
        <v>4.4999999999999998E-2</v>
      </c>
      <c r="J37" s="33">
        <v>4.4999999999999998E-2</v>
      </c>
      <c r="K37" s="33">
        <v>4.4999999999999998E-2</v>
      </c>
      <c r="L37" s="33">
        <v>4.4999999999999998E-2</v>
      </c>
      <c r="M37" s="2"/>
      <c r="N37" s="11" t="s">
        <v>100</v>
      </c>
    </row>
    <row r="38" spans="1:14" ht="20" customHeight="1">
      <c r="A38" s="2"/>
      <c r="B38" s="2"/>
      <c r="C38" s="2" t="s">
        <v>101</v>
      </c>
      <c r="D38" s="3"/>
      <c r="E38" s="3"/>
      <c r="F38" s="3"/>
      <c r="G38" s="3"/>
      <c r="H38" s="29">
        <v>0</v>
      </c>
      <c r="I38" s="29">
        <v>0</v>
      </c>
      <c r="J38" s="29">
        <v>300</v>
      </c>
      <c r="K38" s="29">
        <v>0</v>
      </c>
      <c r="L38" s="29">
        <v>0</v>
      </c>
      <c r="M38" s="2"/>
      <c r="N38" s="11" t="s">
        <v>102</v>
      </c>
    </row>
    <row r="39" spans="1:14" ht="20" customHeight="1">
      <c r="A39" s="2"/>
      <c r="B39" s="2"/>
      <c r="C39" s="2" t="s">
        <v>103</v>
      </c>
      <c r="D39" s="3"/>
      <c r="E39" s="3"/>
      <c r="F39" s="3"/>
      <c r="G39" s="3"/>
      <c r="H39" s="43">
        <v>1</v>
      </c>
      <c r="I39" s="43">
        <v>1</v>
      </c>
      <c r="J39" s="43">
        <v>1</v>
      </c>
      <c r="K39" s="43">
        <v>1</v>
      </c>
      <c r="L39" s="43">
        <v>1</v>
      </c>
      <c r="M39" s="2"/>
      <c r="N39" s="11" t="s">
        <v>104</v>
      </c>
    </row>
    <row r="40" spans="1:14" ht="20" customHeight="1">
      <c r="A40" s="2"/>
      <c r="B40" s="2"/>
      <c r="C40" s="2"/>
      <c r="D40" s="3"/>
      <c r="E40" s="3"/>
      <c r="F40" s="3"/>
      <c r="G40" s="3"/>
      <c r="H40" s="24"/>
      <c r="I40" s="24"/>
      <c r="J40" s="24"/>
      <c r="K40" s="24"/>
      <c r="L40" s="24"/>
      <c r="M40" s="2"/>
      <c r="N40" s="2"/>
    </row>
    <row r="41" spans="1:14" ht="25" customHeight="1">
      <c r="A41" s="2"/>
      <c r="B41" s="2"/>
      <c r="C41" s="6" t="s">
        <v>105</v>
      </c>
      <c r="D41" s="7"/>
      <c r="E41" s="7"/>
      <c r="F41" s="7"/>
      <c r="G41" s="7"/>
      <c r="H41" s="7"/>
      <c r="I41" s="7"/>
      <c r="J41" s="7"/>
      <c r="K41" s="7"/>
      <c r="L41" s="7"/>
      <c r="M41" s="2"/>
      <c r="N41" s="2"/>
    </row>
    <row r="42" spans="1:14" ht="20" customHeight="1">
      <c r="A42" s="2"/>
      <c r="B42" s="2"/>
      <c r="C42" s="2" t="s">
        <v>106</v>
      </c>
      <c r="D42" s="3"/>
      <c r="E42" s="3"/>
      <c r="F42" s="3"/>
      <c r="G42" s="3"/>
      <c r="H42" s="33">
        <v>0.25</v>
      </c>
      <c r="I42" s="33">
        <v>0.25</v>
      </c>
      <c r="J42" s="33">
        <v>0.25</v>
      </c>
      <c r="K42" s="33">
        <v>0.25</v>
      </c>
      <c r="L42" s="33">
        <v>0.25</v>
      </c>
      <c r="M42" s="2"/>
      <c r="N42" s="11" t="s">
        <v>107</v>
      </c>
    </row>
    <row r="43" spans="1:14" ht="20" customHeight="1">
      <c r="A43" s="2"/>
      <c r="B43" s="2"/>
      <c r="C43" s="2"/>
      <c r="D43" s="3"/>
      <c r="E43" s="3"/>
      <c r="F43" s="3"/>
      <c r="G43" s="3"/>
      <c r="H43" s="24"/>
      <c r="I43" s="24"/>
      <c r="J43" s="24"/>
      <c r="K43" s="24"/>
      <c r="L43" s="24"/>
      <c r="M43" s="2"/>
      <c r="N43" s="2"/>
    </row>
    <row r="44" spans="1:14" ht="25" customHeight="1">
      <c r="A44" s="2"/>
      <c r="B44" s="2"/>
      <c r="C44" s="6" t="s">
        <v>108</v>
      </c>
      <c r="D44" s="7"/>
      <c r="E44" s="7"/>
      <c r="F44" s="7"/>
      <c r="G44" s="7"/>
      <c r="H44" s="7"/>
      <c r="I44" s="7"/>
      <c r="J44" s="7"/>
      <c r="K44" s="7"/>
      <c r="L44" s="7"/>
      <c r="M44" s="2"/>
      <c r="N44" s="2"/>
    </row>
    <row r="45" spans="1:14" ht="20" customHeight="1">
      <c r="A45" s="2"/>
      <c r="B45" s="2"/>
      <c r="C45" s="2" t="s">
        <v>109</v>
      </c>
      <c r="D45" s="3"/>
      <c r="E45" s="3"/>
      <c r="F45" s="3"/>
      <c r="G45" s="3"/>
      <c r="H45" s="33">
        <v>0.36</v>
      </c>
      <c r="I45" s="33">
        <v>0.36</v>
      </c>
      <c r="J45" s="33">
        <v>0.36</v>
      </c>
      <c r="K45" s="33">
        <v>0.36</v>
      </c>
      <c r="L45" s="33">
        <v>0.36</v>
      </c>
      <c r="M45" s="2"/>
      <c r="N45" s="11" t="s">
        <v>110</v>
      </c>
    </row>
    <row r="46" spans="1:14" ht="20" customHeight="1">
      <c r="A46" s="2"/>
      <c r="B46" s="2"/>
      <c r="C46" s="2" t="s">
        <v>111</v>
      </c>
      <c r="D46" s="3"/>
      <c r="E46" s="3"/>
      <c r="F46" s="3"/>
      <c r="G46" s="3"/>
      <c r="H46" s="29">
        <v>318</v>
      </c>
      <c r="I46" s="29">
        <v>340.4</v>
      </c>
      <c r="J46" s="29">
        <v>374.1</v>
      </c>
      <c r="K46" s="29">
        <v>396.1</v>
      </c>
      <c r="L46" s="29">
        <v>417.2</v>
      </c>
      <c r="M46" s="2"/>
      <c r="N46" s="11" t="s">
        <v>112</v>
      </c>
    </row>
    <row r="47" spans="1:14" ht="20" customHeight="1">
      <c r="A47" s="2"/>
      <c r="B47" s="2"/>
      <c r="C47" s="2" t="s">
        <v>113</v>
      </c>
      <c r="D47" s="3"/>
      <c r="E47" s="3"/>
      <c r="F47" s="3"/>
      <c r="G47" s="3"/>
      <c r="H47" s="54" t="s">
        <v>72</v>
      </c>
      <c r="I47" s="29">
        <v>140</v>
      </c>
      <c r="J47" s="29">
        <v>147</v>
      </c>
      <c r="K47" s="29">
        <v>154</v>
      </c>
      <c r="L47" s="29">
        <v>162</v>
      </c>
      <c r="M47" s="2"/>
      <c r="N47" s="11" t="s">
        <v>114</v>
      </c>
    </row>
    <row r="48" spans="1:14" ht="20" customHeight="1">
      <c r="A48" s="2"/>
      <c r="B48" s="2"/>
      <c r="C48" s="2" t="s">
        <v>115</v>
      </c>
      <c r="D48" s="3"/>
      <c r="E48" s="3"/>
      <c r="F48" s="3"/>
      <c r="G48" s="3"/>
      <c r="H48" s="53" t="s">
        <v>72</v>
      </c>
      <c r="I48" s="33">
        <v>0.7</v>
      </c>
      <c r="J48" s="33">
        <v>0.7</v>
      </c>
      <c r="K48" s="33">
        <v>0.7</v>
      </c>
      <c r="L48" s="33">
        <v>0.7</v>
      </c>
      <c r="M48" s="2"/>
      <c r="N48" s="11" t="s">
        <v>116</v>
      </c>
    </row>
    <row r="49" spans="1:14" ht="20" customHeight="1">
      <c r="A49" s="2"/>
      <c r="B49" s="2"/>
      <c r="C49" s="2" t="s">
        <v>117</v>
      </c>
      <c r="D49" s="3"/>
      <c r="E49" s="3"/>
      <c r="F49" s="3"/>
      <c r="G49" s="3"/>
      <c r="H49" s="43">
        <v>1</v>
      </c>
      <c r="I49" s="43">
        <v>1</v>
      </c>
      <c r="J49" s="43">
        <v>1</v>
      </c>
      <c r="K49" s="43">
        <v>1</v>
      </c>
      <c r="L49" s="43">
        <v>1</v>
      </c>
      <c r="M49" s="2"/>
      <c r="N49" s="11" t="s">
        <v>118</v>
      </c>
    </row>
    <row r="50" spans="1:14" ht="20" customHeight="1">
      <c r="A50" s="2"/>
      <c r="B50" s="2"/>
      <c r="C50" s="2"/>
      <c r="D50" s="3"/>
      <c r="E50" s="3"/>
      <c r="F50" s="3"/>
      <c r="G50" s="3"/>
      <c r="H50" s="24"/>
      <c r="I50" s="24"/>
      <c r="J50" s="24"/>
      <c r="K50" s="24"/>
      <c r="L50" s="24"/>
      <c r="M50" s="2"/>
      <c r="N50" s="2"/>
    </row>
    <row r="51" spans="1:14" ht="20" customHeight="1">
      <c r="A51" s="2"/>
      <c r="B51" s="2"/>
      <c r="C51" s="2"/>
      <c r="D51" s="3"/>
      <c r="E51" s="3"/>
      <c r="F51" s="3"/>
      <c r="G51" s="3"/>
      <c r="H51" s="24"/>
      <c r="I51" s="24"/>
      <c r="J51" s="24"/>
      <c r="K51" s="24"/>
      <c r="L51" s="24"/>
      <c r="M51" s="2"/>
      <c r="N51" s="2"/>
    </row>
    <row r="52" spans="1:14" ht="32" customHeight="1">
      <c r="A52" s="2"/>
      <c r="B52" s="2"/>
      <c r="C52" s="117" t="s">
        <v>119</v>
      </c>
      <c r="D52" s="118"/>
      <c r="E52" s="118"/>
      <c r="F52" s="118"/>
      <c r="G52" s="118"/>
      <c r="H52" s="118"/>
      <c r="I52" s="118"/>
      <c r="J52" s="118"/>
      <c r="K52" s="118"/>
      <c r="L52" s="118"/>
      <c r="M52" s="2"/>
      <c r="N52" s="2"/>
    </row>
    <row r="53" spans="1:14" ht="20" customHeight="1">
      <c r="A53" s="2"/>
      <c r="B53" s="2"/>
      <c r="C53" s="2"/>
      <c r="D53" s="3"/>
      <c r="E53" s="3"/>
      <c r="F53" s="3"/>
      <c r="G53" s="3"/>
      <c r="H53" s="3"/>
      <c r="I53" s="3"/>
      <c r="J53" s="3"/>
      <c r="K53" s="3"/>
      <c r="L53" s="3"/>
      <c r="M53" s="2"/>
      <c r="N53" s="2"/>
    </row>
    <row r="54" spans="1:14" ht="32" customHeight="1">
      <c r="A54" s="2"/>
      <c r="B54" s="2"/>
      <c r="C54" s="117" t="s">
        <v>120</v>
      </c>
      <c r="D54" s="118"/>
      <c r="E54" s="118"/>
      <c r="F54" s="118"/>
      <c r="G54" s="118"/>
      <c r="H54" s="118"/>
      <c r="I54" s="118"/>
      <c r="J54" s="118"/>
      <c r="K54" s="118"/>
      <c r="L54" s="118"/>
      <c r="M54" s="2"/>
      <c r="N54" s="2"/>
    </row>
    <row r="55" spans="1:14" ht="20" customHeight="1">
      <c r="A55" s="2"/>
      <c r="B55" s="2"/>
      <c r="C55" s="2"/>
      <c r="D55" s="3"/>
      <c r="E55" s="3"/>
      <c r="F55" s="3"/>
      <c r="G55" s="3"/>
      <c r="H55" s="3"/>
      <c r="I55" s="3"/>
      <c r="J55" s="3"/>
      <c r="K55" s="3"/>
      <c r="L55" s="3"/>
      <c r="M55" s="2"/>
      <c r="N55" s="2"/>
    </row>
    <row r="56" spans="1:14" ht="20" customHeight="1">
      <c r="A56" s="2"/>
      <c r="B56" s="2"/>
      <c r="C56" s="10" t="s">
        <v>121</v>
      </c>
      <c r="D56" s="3"/>
      <c r="E56" s="3"/>
      <c r="F56" s="3"/>
      <c r="G56" s="3"/>
      <c r="H56" s="3"/>
      <c r="I56" s="3"/>
      <c r="J56" s="3"/>
      <c r="K56" s="3"/>
      <c r="L56" s="3"/>
      <c r="M56" s="2"/>
      <c r="N56" s="2"/>
    </row>
  </sheetData>
  <mergeCells count="2">
    <mergeCell ref="C52:L52"/>
    <mergeCell ref="C54:L54"/>
  </mergeCells>
  <hyperlinks>
    <hyperlink ref="C4" location="'00 Cover'!C2" display="Return to Cover" xr:uid="{00000000-0004-0000-0100-000000000000}"/>
    <hyperlink ref="C56" location="'03 Schedules'!C9" display="Open supporting inputs and schedules" xr:uid="{00000000-0004-0000-0100-000001000000}"/>
  </hyperlinks>
  <printOptions horizontalCentered="1"/>
  <pageMargins left="0.25" right="0.25" top="0.35" bottom="0.35" header="0.15" footer="0.15"/>
  <pageSetup paperSize="8" fitToHeight="0" orientation="landscape"/>
  <headerFooter>
    <oddFooter>&amp;LObinna Okey-Udeji | NEXT plc&amp;CInformation through 5 Aug 2026&amp;RPage &amp;P of &amp;N</oddFooter>
  </headerFooter>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1364B"/>
    <pageSetUpPr fitToPage="1"/>
  </sheetPr>
  <dimension ref="A1:N137"/>
  <sheetViews>
    <sheetView showGridLines="0" topLeftCell="C1" zoomScale="85" zoomScaleNormal="100" workbookViewId="0">
      <pane xSplit="3" ySplit="6" topLeftCell="F7" activePane="bottomRight" state="frozen"/>
      <selection pane="topRight" activeCell="C1" sqref="C1"/>
      <selection pane="bottomLeft" activeCell="C1" sqref="C1"/>
      <selection pane="bottomRight" activeCell="L91" sqref="L91"/>
    </sheetView>
  </sheetViews>
  <sheetFormatPr baseColWidth="10" defaultColWidth="8.83203125" defaultRowHeight="14"/>
  <cols>
    <col min="1" max="2" width="2" customWidth="1"/>
    <col min="3" max="3" width="53" customWidth="1"/>
    <col min="4" max="12" width="13" customWidth="1"/>
    <col min="13" max="13" width="3" customWidth="1"/>
    <col min="14" max="14" width="24" customWidth="1"/>
  </cols>
  <sheetData>
    <row r="1" spans="1:14" ht="20" customHeight="1">
      <c r="A1" s="2"/>
      <c r="B1" s="2"/>
      <c r="C1" s="2"/>
      <c r="D1" s="3"/>
      <c r="E1" s="3"/>
      <c r="F1" s="3"/>
      <c r="G1" s="3"/>
      <c r="H1" s="3"/>
      <c r="I1" s="3"/>
      <c r="J1" s="3"/>
      <c r="K1" s="3"/>
      <c r="L1" s="3"/>
      <c r="M1" s="2"/>
      <c r="N1" s="2"/>
    </row>
    <row r="2" spans="1:14" ht="20" customHeight="1">
      <c r="A2" s="2"/>
      <c r="B2" s="2"/>
      <c r="C2" s="4" t="s">
        <v>122</v>
      </c>
      <c r="D2" s="5"/>
      <c r="E2" s="5"/>
      <c r="F2" s="5"/>
      <c r="G2" s="5"/>
      <c r="H2" s="5"/>
      <c r="I2" s="5"/>
      <c r="J2" s="5"/>
      <c r="K2" s="5"/>
      <c r="L2" s="5"/>
      <c r="M2" s="2"/>
      <c r="N2" s="2"/>
    </row>
    <row r="3" spans="1:14" ht="20" customHeight="1">
      <c r="A3" s="2"/>
      <c r="B3" s="2"/>
      <c r="C3" s="2"/>
      <c r="D3" s="3"/>
      <c r="E3" s="3"/>
      <c r="F3" s="3"/>
      <c r="G3" s="3"/>
      <c r="H3" s="3"/>
      <c r="I3" s="3"/>
      <c r="J3" s="3"/>
      <c r="K3" s="3"/>
      <c r="L3" s="3"/>
      <c r="M3" s="2"/>
      <c r="N3" s="2"/>
    </row>
    <row r="4" spans="1:14" ht="20" customHeight="1">
      <c r="A4" s="2"/>
      <c r="B4" s="2"/>
      <c r="C4" s="10" t="s">
        <v>51</v>
      </c>
      <c r="D4" s="3"/>
      <c r="E4" s="3"/>
      <c r="F4" s="3"/>
      <c r="G4" s="3"/>
      <c r="H4" s="3"/>
      <c r="I4" s="3"/>
      <c r="J4" s="3"/>
      <c r="K4" s="3"/>
      <c r="L4" s="3"/>
      <c r="M4" s="2"/>
      <c r="N4" s="2"/>
    </row>
    <row r="5" spans="1:14" ht="20" customHeight="1">
      <c r="A5" s="2"/>
      <c r="B5" s="2"/>
      <c r="C5" s="2" t="s">
        <v>123</v>
      </c>
      <c r="D5" s="3"/>
      <c r="E5" s="3"/>
      <c r="F5" s="3"/>
      <c r="G5" s="3"/>
      <c r="H5" s="3"/>
      <c r="I5" s="3"/>
      <c r="J5" s="3"/>
      <c r="K5" s="3"/>
      <c r="L5" s="3"/>
      <c r="M5" s="2"/>
      <c r="N5" s="2"/>
    </row>
    <row r="6" spans="1:14" ht="23" customHeight="1">
      <c r="A6" s="2"/>
      <c r="B6" s="2"/>
      <c r="C6" s="8"/>
      <c r="D6" s="40" t="s">
        <v>24</v>
      </c>
      <c r="E6" s="40" t="s">
        <v>25</v>
      </c>
      <c r="F6" s="40" t="s">
        <v>26</v>
      </c>
      <c r="G6" s="40" t="s">
        <v>27</v>
      </c>
      <c r="H6" s="9" t="s">
        <v>28</v>
      </c>
      <c r="I6" s="9" t="s">
        <v>29</v>
      </c>
      <c r="J6" s="9" t="s">
        <v>30</v>
      </c>
      <c r="K6" s="9" t="s">
        <v>31</v>
      </c>
      <c r="L6" s="9" t="s">
        <v>32</v>
      </c>
      <c r="M6" s="2"/>
      <c r="N6" s="2"/>
    </row>
    <row r="7" spans="1:14" ht="25" customHeight="1">
      <c r="A7" s="2"/>
      <c r="B7" s="2"/>
      <c r="C7" s="55" t="s">
        <v>124</v>
      </c>
      <c r="D7" s="56"/>
      <c r="E7" s="56"/>
      <c r="F7" s="56"/>
      <c r="G7" s="56"/>
      <c r="H7" s="56"/>
      <c r="I7" s="56"/>
      <c r="J7" s="56"/>
      <c r="K7" s="56"/>
      <c r="L7" s="56"/>
      <c r="M7" s="2"/>
      <c r="N7" s="10" t="s">
        <v>125</v>
      </c>
    </row>
    <row r="8" spans="1:14" ht="20" customHeight="1">
      <c r="A8" s="2"/>
      <c r="B8" s="2"/>
      <c r="C8" s="2" t="s">
        <v>33</v>
      </c>
      <c r="D8" s="28">
        <v>5034</v>
      </c>
      <c r="E8" s="28">
        <v>5491</v>
      </c>
      <c r="F8" s="28">
        <v>6118.1</v>
      </c>
      <c r="G8" s="28">
        <v>6901.3</v>
      </c>
      <c r="H8" s="30">
        <f>'03 Schedules'!H362</f>
        <v>7265.621000000001</v>
      </c>
      <c r="I8" s="30">
        <f>'03 Schedules'!I362</f>
        <v>7701.5582600000016</v>
      </c>
      <c r="J8" s="30">
        <f>'03 Schedules'!J362</f>
        <v>8125.1439643000012</v>
      </c>
      <c r="K8" s="30">
        <f>'03 Schedules'!K362</f>
        <v>8531.4011625150015</v>
      </c>
      <c r="L8" s="30">
        <f>'03 Schedules'!L362</f>
        <v>8915.3142148281768</v>
      </c>
      <c r="M8" s="2"/>
      <c r="N8" s="2" t="s">
        <v>126</v>
      </c>
    </row>
    <row r="9" spans="1:14" ht="20" customHeight="1">
      <c r="A9" s="2"/>
      <c r="B9" s="2"/>
      <c r="C9" s="2" t="s">
        <v>54</v>
      </c>
      <c r="D9" s="12"/>
      <c r="E9" s="12">
        <f>E8/D8-1</f>
        <v>9.0782677791021005E-2</v>
      </c>
      <c r="F9" s="12">
        <f>F8/E8-1</f>
        <v>0.11420506283008569</v>
      </c>
      <c r="G9" s="12">
        <f>G8/F8-1</f>
        <v>0.12801359899315146</v>
      </c>
      <c r="H9" s="36">
        <f>'03 Schedules'!H363</f>
        <v>7.0000000000000007E-2</v>
      </c>
      <c r="I9" s="36">
        <f>'03 Schedules'!I363</f>
        <v>0.06</v>
      </c>
      <c r="J9" s="36">
        <f>'03 Schedules'!J363</f>
        <v>5.5E-2</v>
      </c>
      <c r="K9" s="36">
        <f>'03 Schedules'!K363</f>
        <v>0.05</v>
      </c>
      <c r="L9" s="36">
        <f>'03 Schedules'!L363</f>
        <v>4.4999999999999998E-2</v>
      </c>
      <c r="M9" s="2"/>
      <c r="N9" s="2" t="s">
        <v>127</v>
      </c>
    </row>
    <row r="10" spans="1:14" ht="20" customHeight="1">
      <c r="A10" s="2"/>
      <c r="B10" s="2"/>
      <c r="C10" s="2" t="s">
        <v>128</v>
      </c>
      <c r="D10" s="28">
        <v>-2827.7</v>
      </c>
      <c r="E10" s="28">
        <v>-3034.5</v>
      </c>
      <c r="F10" s="28">
        <v>-3456.5</v>
      </c>
      <c r="G10" s="28">
        <v>-3847.5</v>
      </c>
      <c r="H10" s="30">
        <f>'03 Schedules'!H364</f>
        <v>-4046.9508970000011</v>
      </c>
      <c r="I10" s="30">
        <f>'03 Schedules'!I364</f>
        <v>-4297.4695090800014</v>
      </c>
      <c r="J10" s="30">
        <f>'03 Schedules'!J364</f>
        <v>-4541.9554760437013</v>
      </c>
      <c r="K10" s="30">
        <f>'03 Schedules'!K364</f>
        <v>-4777.5846510084011</v>
      </c>
      <c r="L10" s="30">
        <f>'03 Schedules'!L364</f>
        <v>-4992.5759603037795</v>
      </c>
      <c r="M10" s="2"/>
      <c r="N10" s="2" t="s">
        <v>129</v>
      </c>
    </row>
    <row r="11" spans="1:14" ht="20" customHeight="1">
      <c r="A11" s="2"/>
      <c r="B11" s="2"/>
      <c r="C11" s="2" t="s">
        <v>130</v>
      </c>
      <c r="D11" s="22">
        <f>-D10/D8</f>
        <v>0.56172030194676204</v>
      </c>
      <c r="E11" s="22">
        <f>-E10/E8</f>
        <v>0.55263157894736847</v>
      </c>
      <c r="F11" s="22">
        <f>-F10/F8</f>
        <v>0.56496297870253831</v>
      </c>
      <c r="G11" s="22">
        <f>-G10/G8</f>
        <v>0.55750365873096375</v>
      </c>
      <c r="H11" s="51">
        <f>'03 Schedules'!H365</f>
        <v>0.55700000000000005</v>
      </c>
      <c r="I11" s="51">
        <f>'03 Schedules'!I365</f>
        <v>0.55800000000000005</v>
      </c>
      <c r="J11" s="51">
        <f>'03 Schedules'!J365</f>
        <v>0.55900000000000005</v>
      </c>
      <c r="K11" s="51">
        <f>'03 Schedules'!K365</f>
        <v>0.56000000000000005</v>
      </c>
      <c r="L11" s="51">
        <f>'03 Schedules'!L365</f>
        <v>0.56000000000000005</v>
      </c>
      <c r="M11" s="2"/>
      <c r="N11" s="2" t="s">
        <v>131</v>
      </c>
    </row>
    <row r="12" spans="1:14" ht="20" customHeight="1">
      <c r="A12" s="2"/>
      <c r="B12" s="2"/>
      <c r="C12" s="2" t="s">
        <v>132</v>
      </c>
      <c r="D12" s="28">
        <v>-31</v>
      </c>
      <c r="E12" s="28">
        <v>-36</v>
      </c>
      <c r="F12" s="28">
        <v>-19.399999999999999</v>
      </c>
      <c r="G12" s="28">
        <v>-7.1</v>
      </c>
      <c r="H12" s="30">
        <f>'03 Schedules'!H366</f>
        <v>-20</v>
      </c>
      <c r="I12" s="30">
        <f>'03 Schedules'!I366</f>
        <v>-21</v>
      </c>
      <c r="J12" s="30">
        <f>'03 Schedules'!J366</f>
        <v>-22</v>
      </c>
      <c r="K12" s="30">
        <f>'03 Schedules'!K366</f>
        <v>-23</v>
      </c>
      <c r="L12" s="30">
        <f>'03 Schedules'!L366</f>
        <v>-24</v>
      </c>
      <c r="M12" s="2"/>
      <c r="N12" s="2" t="s">
        <v>133</v>
      </c>
    </row>
    <row r="13" spans="1:14" ht="20" customHeight="1">
      <c r="A13" s="2"/>
      <c r="B13" s="2"/>
      <c r="C13" s="13" t="s">
        <v>134</v>
      </c>
      <c r="D13" s="14">
        <f>SUM(D8,D10,D12)</f>
        <v>2175.3000000000002</v>
      </c>
      <c r="E13" s="14">
        <f>SUM(E8,E10,E12)</f>
        <v>2420.5</v>
      </c>
      <c r="F13" s="14">
        <f>SUM(F8,F10,F12)</f>
        <v>2642.2000000000003</v>
      </c>
      <c r="G13" s="14">
        <f>SUM(G8,G10,G12)</f>
        <v>3046.7000000000003</v>
      </c>
      <c r="H13" s="31">
        <f>'03 Schedules'!H367</f>
        <v>3198.6701029999999</v>
      </c>
      <c r="I13" s="31">
        <f>'03 Schedules'!I367</f>
        <v>3383.0887509200002</v>
      </c>
      <c r="J13" s="31">
        <f>'03 Schedules'!J367</f>
        <v>3561.1884882562999</v>
      </c>
      <c r="K13" s="31">
        <f>'03 Schedules'!K367</f>
        <v>3730.8165115066004</v>
      </c>
      <c r="L13" s="31">
        <f>'03 Schedules'!L367</f>
        <v>3898.7382545243972</v>
      </c>
      <c r="M13" s="2"/>
      <c r="N13" s="2" t="s">
        <v>135</v>
      </c>
    </row>
    <row r="14" spans="1:14" ht="20" customHeight="1">
      <c r="A14" s="2"/>
      <c r="B14" s="2"/>
      <c r="C14" s="2" t="s">
        <v>136</v>
      </c>
      <c r="D14" s="12">
        <f>D13/D8</f>
        <v>0.43212157330154949</v>
      </c>
      <c r="E14" s="12">
        <f>E13/E8</f>
        <v>0.44081223820797671</v>
      </c>
      <c r="F14" s="12">
        <f>F13/F8</f>
        <v>0.43186610222127786</v>
      </c>
      <c r="G14" s="12">
        <f>G13/G8</f>
        <v>0.44146754959210588</v>
      </c>
      <c r="H14" s="36">
        <f>'03 Schedules'!H368</f>
        <v>0.44024731031249764</v>
      </c>
      <c r="I14" s="36">
        <f>'03 Schedules'!I368</f>
        <v>0.43927327908313446</v>
      </c>
      <c r="J14" s="36">
        <f>'03 Schedules'!J368</f>
        <v>0.43829235566819941</v>
      </c>
      <c r="K14" s="36">
        <f>'03 Schedules'!K368</f>
        <v>0.43730407707223323</v>
      </c>
      <c r="L14" s="36">
        <f>'03 Schedules'!L368</f>
        <v>0.43730800290133542</v>
      </c>
      <c r="M14" s="2"/>
      <c r="N14" s="2" t="s">
        <v>137</v>
      </c>
    </row>
    <row r="15" spans="1:14" ht="20" customHeight="1">
      <c r="A15" s="2"/>
      <c r="B15" s="2"/>
      <c r="C15" s="2" t="s">
        <v>138</v>
      </c>
      <c r="D15" s="28">
        <v>-750</v>
      </c>
      <c r="E15" s="28">
        <v>-794.1</v>
      </c>
      <c r="F15" s="28">
        <v>-878.8</v>
      </c>
      <c r="G15" s="28">
        <v>-1027.0999999999999</v>
      </c>
      <c r="H15" s="30">
        <f>'03 Schedules'!H369</f>
        <v>-1075.3119080000001</v>
      </c>
      <c r="I15" s="30">
        <f>'03 Schedules'!I369</f>
        <v>-1132.1290642200001</v>
      </c>
      <c r="J15" s="30">
        <f>'03 Schedules'!J369</f>
        <v>-1190.3335907699502</v>
      </c>
      <c r="K15" s="30">
        <f>'03 Schedules'!K369</f>
        <v>-1245.5845697271902</v>
      </c>
      <c r="L15" s="30">
        <f>'03 Schedules'!L369</f>
        <v>-1301.6358753649138</v>
      </c>
      <c r="M15" s="2"/>
      <c r="N15" s="2" t="s">
        <v>139</v>
      </c>
    </row>
    <row r="16" spans="1:14" ht="20" customHeight="1">
      <c r="A16" s="2"/>
      <c r="B16" s="2"/>
      <c r="C16" s="2" t="s">
        <v>140</v>
      </c>
      <c r="D16" s="22">
        <f>-D15/D8</f>
        <v>0.14898688915375446</v>
      </c>
      <c r="E16" s="22">
        <f>-E15/E8</f>
        <v>0.14461846658167912</v>
      </c>
      <c r="F16" s="22">
        <f>-F15/F8</f>
        <v>0.14363936516238701</v>
      </c>
      <c r="G16" s="22">
        <f>-G15/G8</f>
        <v>0.1488270325880631</v>
      </c>
      <c r="H16" s="51">
        <f>'03 Schedules'!H370</f>
        <v>0.14799999999999999</v>
      </c>
      <c r="I16" s="51">
        <f>'03 Schedules'!I370</f>
        <v>0.14699999999999999</v>
      </c>
      <c r="J16" s="51">
        <f>'03 Schedules'!J370</f>
        <v>0.14649999999999999</v>
      </c>
      <c r="K16" s="51">
        <f>'03 Schedules'!K370</f>
        <v>0.14599999999999999</v>
      </c>
      <c r="L16" s="51">
        <f>'03 Schedules'!L370</f>
        <v>0.14599999999999999</v>
      </c>
      <c r="M16" s="2"/>
      <c r="N16" s="2" t="s">
        <v>141</v>
      </c>
    </row>
    <row r="17" spans="1:14" ht="20" customHeight="1">
      <c r="A17" s="2"/>
      <c r="B17" s="2"/>
      <c r="C17" s="2" t="s">
        <v>142</v>
      </c>
      <c r="D17" s="28">
        <v>-481.8</v>
      </c>
      <c r="E17" s="28">
        <v>-657.7</v>
      </c>
      <c r="F17" s="28">
        <v>-670.6</v>
      </c>
      <c r="G17" s="28">
        <v>-742.4</v>
      </c>
      <c r="H17" s="30">
        <f>'03 Schedules'!H371</f>
        <v>-799.21831000000009</v>
      </c>
      <c r="I17" s="30">
        <f>'03 Schedules'!I371</f>
        <v>-839.46985034000022</v>
      </c>
      <c r="J17" s="30">
        <f>'03 Schedules'!J371</f>
        <v>-877.5155481444001</v>
      </c>
      <c r="K17" s="30">
        <f>'03 Schedules'!K371</f>
        <v>-917.12562497036265</v>
      </c>
      <c r="L17" s="30">
        <f>'03 Schedules'!L371</f>
        <v>-953.93862098661486</v>
      </c>
      <c r="M17" s="2"/>
      <c r="N17" s="2" t="s">
        <v>143</v>
      </c>
    </row>
    <row r="18" spans="1:14" ht="20" customHeight="1">
      <c r="A18" s="2"/>
      <c r="B18" s="2"/>
      <c r="C18" s="2" t="s">
        <v>144</v>
      </c>
      <c r="D18" s="22">
        <f>-D17/D8</f>
        <v>9.570917759237188E-2</v>
      </c>
      <c r="E18" s="22">
        <f>-E17/E8</f>
        <v>0.11977781824804226</v>
      </c>
      <c r="F18" s="22">
        <f>-F17/F8</f>
        <v>0.1096091923963322</v>
      </c>
      <c r="G18" s="22">
        <f>-G17/G8</f>
        <v>0.10757393534551461</v>
      </c>
      <c r="H18" s="51">
        <f>'03 Schedules'!H372</f>
        <v>0.11</v>
      </c>
      <c r="I18" s="51">
        <f>'03 Schedules'!I372</f>
        <v>0.109</v>
      </c>
      <c r="J18" s="51">
        <f>'03 Schedules'!J372</f>
        <v>0.108</v>
      </c>
      <c r="K18" s="51">
        <f>'03 Schedules'!K372</f>
        <v>0.1075</v>
      </c>
      <c r="L18" s="51">
        <f>'03 Schedules'!L372</f>
        <v>0.107</v>
      </c>
      <c r="M18" s="2"/>
      <c r="N18" s="2" t="s">
        <v>145</v>
      </c>
    </row>
    <row r="19" spans="1:14" ht="20" customHeight="1">
      <c r="A19" s="2"/>
      <c r="B19" s="2"/>
      <c r="C19" s="2" t="s">
        <v>146</v>
      </c>
      <c r="D19" s="28">
        <v>-16.3</v>
      </c>
      <c r="E19" s="28">
        <v>12.3</v>
      </c>
      <c r="F19" s="28">
        <v>3.4</v>
      </c>
      <c r="G19" s="28">
        <v>-3.4</v>
      </c>
      <c r="H19" s="30">
        <f>'03 Schedules'!H373</f>
        <v>0</v>
      </c>
      <c r="I19" s="30">
        <f>'03 Schedules'!I373</f>
        <v>0</v>
      </c>
      <c r="J19" s="30">
        <f>'03 Schedules'!J373</f>
        <v>0</v>
      </c>
      <c r="K19" s="30">
        <f>'03 Schedules'!K373</f>
        <v>0</v>
      </c>
      <c r="L19" s="30">
        <f>'03 Schedules'!L373</f>
        <v>0</v>
      </c>
      <c r="M19" s="2"/>
      <c r="N19" s="2" t="s">
        <v>147</v>
      </c>
    </row>
    <row r="20" spans="1:14" ht="20" customHeight="1">
      <c r="A20" s="2"/>
      <c r="B20" s="2"/>
      <c r="C20" s="13" t="s">
        <v>148</v>
      </c>
      <c r="D20" s="14">
        <f>SUM(D13,D15,D17,D19)</f>
        <v>927.20000000000027</v>
      </c>
      <c r="E20" s="14">
        <f>SUM(E13,E15,E17,E19)</f>
        <v>981</v>
      </c>
      <c r="F20" s="14">
        <f>SUM(F13,F15,F17,F19)</f>
        <v>1096.2000000000003</v>
      </c>
      <c r="G20" s="14">
        <f>SUM(G13,G15,G17,G19)</f>
        <v>1273.8000000000002</v>
      </c>
      <c r="H20" s="31">
        <f>'03 Schedules'!H374</f>
        <v>1324.1398849999996</v>
      </c>
      <c r="I20" s="31">
        <f>'03 Schedules'!I374</f>
        <v>1411.4898363599998</v>
      </c>
      <c r="J20" s="31">
        <f>'03 Schedules'!J374</f>
        <v>1493.3393493419496</v>
      </c>
      <c r="K20" s="31">
        <f>'03 Schedules'!K374</f>
        <v>1568.1063168090475</v>
      </c>
      <c r="L20" s="31">
        <f>'03 Schedules'!L374</f>
        <v>1643.1637581728687</v>
      </c>
      <c r="M20" s="2"/>
      <c r="N20" s="2" t="s">
        <v>149</v>
      </c>
    </row>
    <row r="21" spans="1:14" ht="20" customHeight="1">
      <c r="A21" s="2"/>
      <c r="B21" s="2"/>
      <c r="C21" s="2" t="s">
        <v>150</v>
      </c>
      <c r="D21" s="28">
        <v>14.3</v>
      </c>
      <c r="E21" s="28">
        <v>6.9</v>
      </c>
      <c r="F21" s="28">
        <v>6.7</v>
      </c>
      <c r="G21" s="28">
        <v>7.9</v>
      </c>
      <c r="H21" s="30">
        <f>'03 Schedules'!H375</f>
        <v>8</v>
      </c>
      <c r="I21" s="30">
        <f>'03 Schedules'!I375</f>
        <v>8.5</v>
      </c>
      <c r="J21" s="30">
        <f>'03 Schedules'!J375</f>
        <v>9</v>
      </c>
      <c r="K21" s="30">
        <f>'03 Schedules'!K375</f>
        <v>9.5</v>
      </c>
      <c r="L21" s="30">
        <f>'03 Schedules'!L375</f>
        <v>10</v>
      </c>
      <c r="M21" s="2"/>
      <c r="N21" s="2" t="s">
        <v>151</v>
      </c>
    </row>
    <row r="22" spans="1:14" ht="20" customHeight="1">
      <c r="A22" s="2"/>
      <c r="B22" s="2"/>
      <c r="C22" s="2" t="s">
        <v>152</v>
      </c>
      <c r="D22" s="28">
        <v>0</v>
      </c>
      <c r="E22" s="28">
        <v>0</v>
      </c>
      <c r="F22" s="28">
        <v>-13</v>
      </c>
      <c r="G22" s="28">
        <v>-2.9</v>
      </c>
      <c r="H22" s="30">
        <f>'03 Schedules'!H376</f>
        <v>0</v>
      </c>
      <c r="I22" s="30">
        <f>'03 Schedules'!I376</f>
        <v>0</v>
      </c>
      <c r="J22" s="30">
        <f>'03 Schedules'!J376</f>
        <v>0</v>
      </c>
      <c r="K22" s="30">
        <f>'03 Schedules'!K376</f>
        <v>0</v>
      </c>
      <c r="L22" s="30">
        <f>'03 Schedules'!L376</f>
        <v>0</v>
      </c>
      <c r="M22" s="2"/>
      <c r="N22" s="2" t="s">
        <v>153</v>
      </c>
    </row>
    <row r="23" spans="1:14" ht="20" customHeight="1">
      <c r="A23" s="2"/>
      <c r="B23" s="2"/>
      <c r="C23" s="2" t="s">
        <v>154</v>
      </c>
      <c r="D23" s="28">
        <v>0</v>
      </c>
      <c r="E23" s="28">
        <v>0</v>
      </c>
      <c r="F23" s="28">
        <v>-14.5</v>
      </c>
      <c r="G23" s="28">
        <v>0</v>
      </c>
      <c r="H23" s="30">
        <f>'03 Schedules'!H377</f>
        <v>0</v>
      </c>
      <c r="I23" s="30">
        <f>'03 Schedules'!I377</f>
        <v>0</v>
      </c>
      <c r="J23" s="30">
        <f>'03 Schedules'!J377</f>
        <v>0</v>
      </c>
      <c r="K23" s="30">
        <f>'03 Schedules'!K377</f>
        <v>0</v>
      </c>
      <c r="L23" s="30">
        <f>'03 Schedules'!L377</f>
        <v>0</v>
      </c>
      <c r="M23" s="2"/>
      <c r="N23" s="2" t="s">
        <v>155</v>
      </c>
    </row>
    <row r="24" spans="1:14" ht="20" customHeight="1">
      <c r="A24" s="2"/>
      <c r="B24" s="2"/>
      <c r="C24" s="13" t="s">
        <v>156</v>
      </c>
      <c r="D24" s="14">
        <f>SUM(D20:D23)</f>
        <v>941.50000000000023</v>
      </c>
      <c r="E24" s="14">
        <f>SUM(E20:E23)</f>
        <v>987.9</v>
      </c>
      <c r="F24" s="14">
        <f>SUM(F20:F23)</f>
        <v>1075.4000000000003</v>
      </c>
      <c r="G24" s="14">
        <f>SUM(G20:G23)</f>
        <v>1278.8000000000002</v>
      </c>
      <c r="H24" s="31">
        <f>'03 Schedules'!H378</f>
        <v>1332.1398849999996</v>
      </c>
      <c r="I24" s="31">
        <f>'03 Schedules'!I378</f>
        <v>1419.9898363599998</v>
      </c>
      <c r="J24" s="31">
        <f>'03 Schedules'!J378</f>
        <v>1502.3393493419496</v>
      </c>
      <c r="K24" s="31">
        <f>'03 Schedules'!K378</f>
        <v>1577.6063168090475</v>
      </c>
      <c r="L24" s="31">
        <f>'03 Schedules'!L378</f>
        <v>1653.1637581728687</v>
      </c>
      <c r="M24" s="2"/>
      <c r="N24" s="2" t="s">
        <v>157</v>
      </c>
    </row>
    <row r="25" spans="1:14" ht="20" customHeight="1">
      <c r="A25" s="2"/>
      <c r="B25" s="2"/>
      <c r="C25" s="2" t="s">
        <v>158</v>
      </c>
      <c r="D25" s="28">
        <v>0</v>
      </c>
      <c r="E25" s="28">
        <v>108.6</v>
      </c>
      <c r="F25" s="28">
        <v>0</v>
      </c>
      <c r="G25" s="28">
        <v>0</v>
      </c>
      <c r="H25" s="30">
        <f>'03 Schedules'!H379</f>
        <v>0</v>
      </c>
      <c r="I25" s="30">
        <f>'03 Schedules'!I379</f>
        <v>0</v>
      </c>
      <c r="J25" s="30">
        <f>'03 Schedules'!J379</f>
        <v>0</v>
      </c>
      <c r="K25" s="30">
        <f>'03 Schedules'!K379</f>
        <v>0</v>
      </c>
      <c r="L25" s="30">
        <f>'03 Schedules'!L379</f>
        <v>0</v>
      </c>
      <c r="M25" s="2"/>
      <c r="N25" s="2" t="s">
        <v>159</v>
      </c>
    </row>
    <row r="26" spans="1:14" ht="20" customHeight="1">
      <c r="A26" s="2"/>
      <c r="B26" s="2"/>
      <c r="C26" s="2" t="s">
        <v>160</v>
      </c>
      <c r="D26" s="28">
        <v>5.7</v>
      </c>
      <c r="E26" s="28">
        <v>6.8</v>
      </c>
      <c r="F26" s="28">
        <v>8.1999999999999993</v>
      </c>
      <c r="G26" s="28">
        <v>11</v>
      </c>
      <c r="H26" s="30">
        <f>'03 Schedules'!H380</f>
        <v>5.3670000000000009</v>
      </c>
      <c r="I26" s="30">
        <f>'03 Schedules'!I380</f>
        <v>5.7318150276757773</v>
      </c>
      <c r="J26" s="30">
        <f>'03 Schedules'!J380</f>
        <v>5.1999999999999993</v>
      </c>
      <c r="K26" s="30">
        <f>'03 Schedules'!K380</f>
        <v>5.2999999999999989</v>
      </c>
      <c r="L26" s="30">
        <f>'03 Schedules'!L380</f>
        <v>5.3999999999999986</v>
      </c>
      <c r="M26" s="2"/>
      <c r="N26" s="2" t="s">
        <v>161</v>
      </c>
    </row>
    <row r="27" spans="1:14" ht="20" customHeight="1">
      <c r="A27" s="2"/>
      <c r="B27" s="2"/>
      <c r="C27" s="2" t="s">
        <v>162</v>
      </c>
      <c r="D27" s="28">
        <v>-77.900000000000006</v>
      </c>
      <c r="E27" s="28">
        <v>-87.5</v>
      </c>
      <c r="F27" s="28">
        <v>-96.6</v>
      </c>
      <c r="G27" s="28">
        <v>-97.2</v>
      </c>
      <c r="H27" s="30">
        <f>'03 Schedules'!H381</f>
        <v>-89.577866666666665</v>
      </c>
      <c r="I27" s="30">
        <f>'03 Schedules'!I381</f>
        <v>-82.179817000000014</v>
      </c>
      <c r="J27" s="30">
        <f>'03 Schedules'!J381</f>
        <v>-80.485859667</v>
      </c>
      <c r="K27" s="30">
        <f>'03 Schedules'!K381</f>
        <v>-78.562440083350012</v>
      </c>
      <c r="L27" s="30">
        <f>'03 Schedules'!L381</f>
        <v>-76.675562087517505</v>
      </c>
      <c r="M27" s="2"/>
      <c r="N27" s="2" t="s">
        <v>163</v>
      </c>
    </row>
    <row r="28" spans="1:14" ht="20" customHeight="1">
      <c r="A28" s="2"/>
      <c r="B28" s="2"/>
      <c r="C28" s="13" t="s">
        <v>37</v>
      </c>
      <c r="D28" s="14">
        <f>SUM(D24:D27)</f>
        <v>869.3000000000003</v>
      </c>
      <c r="E28" s="14">
        <f>SUM(E24:E27)</f>
        <v>1015.8</v>
      </c>
      <c r="F28" s="14">
        <f>SUM(F24:F27)</f>
        <v>987.00000000000034</v>
      </c>
      <c r="G28" s="14">
        <f>SUM(G24:G27)</f>
        <v>1192.6000000000001</v>
      </c>
      <c r="H28" s="31">
        <f>'03 Schedules'!H382</f>
        <v>1247.9290183333328</v>
      </c>
      <c r="I28" s="31">
        <f>'03 Schedules'!I382</f>
        <v>1343.5418343876756</v>
      </c>
      <c r="J28" s="31">
        <f>'03 Schedules'!J382</f>
        <v>1427.0534896749496</v>
      </c>
      <c r="K28" s="31">
        <f>'03 Schedules'!K382</f>
        <v>1504.3438767256973</v>
      </c>
      <c r="L28" s="31">
        <f>'03 Schedules'!L382</f>
        <v>1581.8881960853514</v>
      </c>
      <c r="M28" s="2"/>
      <c r="N28" s="2" t="s">
        <v>164</v>
      </c>
    </row>
    <row r="29" spans="1:14" ht="20" customHeight="1">
      <c r="A29" s="2"/>
      <c r="B29" s="2"/>
      <c r="C29" s="2" t="s">
        <v>165</v>
      </c>
      <c r="D29" s="28">
        <v>-158.6</v>
      </c>
      <c r="E29" s="28">
        <v>-215.3</v>
      </c>
      <c r="F29" s="28">
        <v>-243.8</v>
      </c>
      <c r="G29" s="28">
        <v>-294.60000000000002</v>
      </c>
      <c r="H29" s="30">
        <f>'03 Schedules'!H383</f>
        <v>-311.9822545833332</v>
      </c>
      <c r="I29" s="30">
        <f>'03 Schedules'!I383</f>
        <v>-335.88545859691891</v>
      </c>
      <c r="J29" s="30">
        <f>'03 Schedules'!J383</f>
        <v>-356.76337241873739</v>
      </c>
      <c r="K29" s="30">
        <f>'03 Schedules'!K383</f>
        <v>-376.08596918142433</v>
      </c>
      <c r="L29" s="30">
        <f>'03 Schedules'!L383</f>
        <v>-395.47204902133785</v>
      </c>
      <c r="M29" s="2"/>
      <c r="N29" s="2" t="s">
        <v>166</v>
      </c>
    </row>
    <row r="30" spans="1:14" ht="20" customHeight="1">
      <c r="A30" s="2"/>
      <c r="B30" s="2"/>
      <c r="C30" s="13" t="s">
        <v>167</v>
      </c>
      <c r="D30" s="14">
        <f>SUM(D28:D29)</f>
        <v>710.70000000000027</v>
      </c>
      <c r="E30" s="14">
        <f>SUM(E28:E29)</f>
        <v>800.5</v>
      </c>
      <c r="F30" s="14">
        <f>SUM(F28:F29)</f>
        <v>743.20000000000027</v>
      </c>
      <c r="G30" s="14">
        <f>SUM(G28:G29)</f>
        <v>898.00000000000011</v>
      </c>
      <c r="H30" s="31">
        <f>'03 Schedules'!H384</f>
        <v>935.9467637499996</v>
      </c>
      <c r="I30" s="31">
        <f>'03 Schedules'!I384</f>
        <v>1007.6563757907568</v>
      </c>
      <c r="J30" s="31">
        <f>'03 Schedules'!J384</f>
        <v>1070.2901172562122</v>
      </c>
      <c r="K30" s="31">
        <f>'03 Schedules'!K384</f>
        <v>1128.2579075442729</v>
      </c>
      <c r="L30" s="31">
        <f>'03 Schedules'!L384</f>
        <v>1186.4161470640136</v>
      </c>
      <c r="M30" s="2"/>
      <c r="N30" s="2" t="s">
        <v>168</v>
      </c>
    </row>
    <row r="31" spans="1:14" ht="20" customHeight="1">
      <c r="A31" s="2"/>
      <c r="B31" s="2"/>
      <c r="C31" s="2"/>
      <c r="D31" s="3"/>
      <c r="E31" s="3"/>
      <c r="F31" s="3"/>
      <c r="G31" s="3"/>
      <c r="H31" s="24"/>
      <c r="I31" s="24"/>
      <c r="J31" s="24"/>
      <c r="K31" s="24"/>
      <c r="L31" s="24"/>
      <c r="M31" s="2"/>
      <c r="N31" s="2"/>
    </row>
    <row r="32" spans="1:14" ht="20" customHeight="1">
      <c r="A32" s="2"/>
      <c r="B32" s="2"/>
      <c r="C32" s="2"/>
      <c r="D32" s="3"/>
      <c r="E32" s="3"/>
      <c r="F32" s="3"/>
      <c r="G32" s="3"/>
      <c r="H32" s="24"/>
      <c r="I32" s="24"/>
      <c r="J32" s="24"/>
      <c r="K32" s="24"/>
      <c r="L32" s="24"/>
      <c r="M32" s="2"/>
      <c r="N32" s="2"/>
    </row>
    <row r="33" spans="1:14" ht="25" customHeight="1">
      <c r="A33" s="2"/>
      <c r="B33" s="2"/>
      <c r="C33" s="55" t="s">
        <v>169</v>
      </c>
      <c r="D33" s="56"/>
      <c r="E33" s="56"/>
      <c r="F33" s="56"/>
      <c r="G33" s="56"/>
      <c r="H33" s="56"/>
      <c r="I33" s="56"/>
      <c r="J33" s="56"/>
      <c r="K33" s="56"/>
      <c r="L33" s="56"/>
      <c r="M33" s="2"/>
      <c r="N33" s="10" t="s">
        <v>170</v>
      </c>
    </row>
    <row r="34" spans="1:14" ht="20" customHeight="1">
      <c r="A34" s="2"/>
      <c r="B34" s="2"/>
      <c r="C34" s="2"/>
      <c r="D34" s="3"/>
      <c r="E34" s="3"/>
      <c r="F34" s="3"/>
      <c r="G34" s="3"/>
      <c r="H34" s="24"/>
      <c r="I34" s="24"/>
      <c r="J34" s="24"/>
      <c r="K34" s="24"/>
      <c r="L34" s="24"/>
      <c r="M34" s="2"/>
      <c r="N34" s="2"/>
    </row>
    <row r="35" spans="1:14" ht="20" customHeight="1">
      <c r="A35" s="2"/>
      <c r="B35" s="2"/>
      <c r="C35" s="2" t="s">
        <v>171</v>
      </c>
      <c r="D35" s="3"/>
      <c r="E35" s="3"/>
      <c r="F35" s="3"/>
      <c r="G35" s="3"/>
      <c r="H35" s="24"/>
      <c r="I35" s="24"/>
      <c r="J35" s="24"/>
      <c r="K35" s="24"/>
      <c r="L35" s="24"/>
      <c r="M35" s="2"/>
      <c r="N35" s="2"/>
    </row>
    <row r="36" spans="1:14" ht="20" customHeight="1">
      <c r="A36" s="2"/>
      <c r="B36" s="2"/>
      <c r="C36" s="2" t="s">
        <v>172</v>
      </c>
      <c r="D36" s="3"/>
      <c r="E36" s="3"/>
      <c r="F36" s="3"/>
      <c r="G36" s="3"/>
      <c r="H36" s="24"/>
      <c r="I36" s="24"/>
      <c r="J36" s="24"/>
      <c r="K36" s="24"/>
      <c r="L36" s="24"/>
      <c r="M36" s="2"/>
      <c r="N36" s="2"/>
    </row>
    <row r="37" spans="1:14" ht="20" customHeight="1">
      <c r="A37" s="2"/>
      <c r="B37" s="2"/>
      <c r="C37" s="2" t="s">
        <v>173</v>
      </c>
      <c r="D37" s="28">
        <v>644.79999999999995</v>
      </c>
      <c r="E37" s="28">
        <v>687.5</v>
      </c>
      <c r="F37" s="28">
        <v>686.4</v>
      </c>
      <c r="G37" s="28">
        <v>667.7</v>
      </c>
      <c r="H37" s="30">
        <f>'03 Schedules'!H23</f>
        <v>755.7</v>
      </c>
      <c r="I37" s="30">
        <f>'03 Schedules'!I23</f>
        <v>847.7</v>
      </c>
      <c r="J37" s="30">
        <f>'03 Schedules'!J23</f>
        <v>902.7</v>
      </c>
      <c r="K37" s="30">
        <f>'03 Schedules'!K23</f>
        <v>1004.7</v>
      </c>
      <c r="L37" s="30">
        <f>'03 Schedules'!L23</f>
        <v>1102.7</v>
      </c>
      <c r="M37" s="2"/>
      <c r="N37" s="2" t="s">
        <v>174</v>
      </c>
    </row>
    <row r="38" spans="1:14" ht="20" customHeight="1">
      <c r="A38" s="2"/>
      <c r="B38" s="2"/>
      <c r="C38" s="2" t="s">
        <v>175</v>
      </c>
      <c r="D38" s="28">
        <v>137.1</v>
      </c>
      <c r="E38" s="28">
        <v>757.2</v>
      </c>
      <c r="F38" s="28">
        <v>735.4</v>
      </c>
      <c r="G38" s="28">
        <v>713.7</v>
      </c>
      <c r="H38" s="30">
        <f>'03 Schedules'!H44</f>
        <v>684.7</v>
      </c>
      <c r="I38" s="30">
        <f>'03 Schedules'!I44</f>
        <v>656.7</v>
      </c>
      <c r="J38" s="30">
        <f>'03 Schedules'!J44</f>
        <v>626.70000000000005</v>
      </c>
      <c r="K38" s="30">
        <f>'03 Schedules'!K44</f>
        <v>594.70000000000005</v>
      </c>
      <c r="L38" s="30">
        <f>'03 Schedules'!L44</f>
        <v>560.70000000000005</v>
      </c>
      <c r="M38" s="2"/>
      <c r="N38" s="2" t="s">
        <v>176</v>
      </c>
    </row>
    <row r="39" spans="1:14" ht="20" customHeight="1">
      <c r="A39" s="2"/>
      <c r="B39" s="2"/>
      <c r="C39" s="2" t="s">
        <v>177</v>
      </c>
      <c r="D39" s="28">
        <v>662</v>
      </c>
      <c r="E39" s="28">
        <v>734.6</v>
      </c>
      <c r="F39" s="28">
        <v>737.3</v>
      </c>
      <c r="G39" s="28">
        <v>733.1</v>
      </c>
      <c r="H39" s="30">
        <f>'03 Schedules'!H74</f>
        <v>719.1</v>
      </c>
      <c r="I39" s="30">
        <f>'03 Schedules'!I74</f>
        <v>708.1</v>
      </c>
      <c r="J39" s="30">
        <f>'03 Schedules'!J74</f>
        <v>700.1</v>
      </c>
      <c r="K39" s="30">
        <f>'03 Schedules'!K74</f>
        <v>695.1</v>
      </c>
      <c r="L39" s="30">
        <f>'03 Schedules'!L74</f>
        <v>693.1</v>
      </c>
      <c r="M39" s="2"/>
      <c r="N39" s="2" t="s">
        <v>178</v>
      </c>
    </row>
    <row r="40" spans="1:14" ht="20" customHeight="1">
      <c r="A40" s="2"/>
      <c r="B40" s="2"/>
      <c r="C40" s="2" t="s">
        <v>179</v>
      </c>
      <c r="D40" s="28">
        <v>114.6</v>
      </c>
      <c r="E40" s="28">
        <v>38</v>
      </c>
      <c r="F40" s="28">
        <v>32.700000000000003</v>
      </c>
      <c r="G40" s="28">
        <v>35.200000000000003</v>
      </c>
      <c r="H40" s="30">
        <f>'03 Schedules'!H50</f>
        <v>43.2</v>
      </c>
      <c r="I40" s="30">
        <f>'03 Schedules'!I50</f>
        <v>51.7</v>
      </c>
      <c r="J40" s="30">
        <f>'03 Schedules'!J50</f>
        <v>60.7</v>
      </c>
      <c r="K40" s="30">
        <f>'03 Schedules'!K50</f>
        <v>70.2</v>
      </c>
      <c r="L40" s="30">
        <f>'03 Schedules'!L50</f>
        <v>80.2</v>
      </c>
      <c r="M40" s="2"/>
      <c r="N40" s="2" t="s">
        <v>180</v>
      </c>
    </row>
    <row r="41" spans="1:14" ht="20" customHeight="1">
      <c r="A41" s="2"/>
      <c r="B41" s="2"/>
      <c r="C41" s="2" t="s">
        <v>181</v>
      </c>
      <c r="D41" s="28">
        <v>157.5</v>
      </c>
      <c r="E41" s="28">
        <v>59.3</v>
      </c>
      <c r="F41" s="28">
        <v>30.8</v>
      </c>
      <c r="G41" s="28">
        <v>23</v>
      </c>
      <c r="H41" s="30">
        <f>'03 Schedules'!H255</f>
        <v>23</v>
      </c>
      <c r="I41" s="30">
        <f>'03 Schedules'!I255</f>
        <v>23</v>
      </c>
      <c r="J41" s="30">
        <f>'03 Schedules'!J255</f>
        <v>23</v>
      </c>
      <c r="K41" s="30">
        <f>'03 Schedules'!K255</f>
        <v>23</v>
      </c>
      <c r="L41" s="30">
        <f>'03 Schedules'!L255</f>
        <v>23</v>
      </c>
      <c r="M41" s="2"/>
      <c r="N41" s="2" t="s">
        <v>182</v>
      </c>
    </row>
    <row r="42" spans="1:14" ht="20" customHeight="1">
      <c r="A42" s="2"/>
      <c r="B42" s="2"/>
      <c r="C42" s="2" t="s">
        <v>183</v>
      </c>
      <c r="D42" s="28">
        <v>33.299999999999997</v>
      </c>
      <c r="E42" s="28">
        <v>0</v>
      </c>
      <c r="F42" s="28">
        <v>0</v>
      </c>
      <c r="G42" s="28">
        <v>0.2</v>
      </c>
      <c r="H42" s="30">
        <f>'03 Schedules'!H256</f>
        <v>0.2</v>
      </c>
      <c r="I42" s="30">
        <f>'03 Schedules'!I256</f>
        <v>0.2</v>
      </c>
      <c r="J42" s="30">
        <f>'03 Schedules'!J256</f>
        <v>0.2</v>
      </c>
      <c r="K42" s="30">
        <f>'03 Schedules'!K256</f>
        <v>0.2</v>
      </c>
      <c r="L42" s="30">
        <f>'03 Schedules'!L256</f>
        <v>0.2</v>
      </c>
      <c r="M42" s="2"/>
      <c r="N42" s="2" t="s">
        <v>184</v>
      </c>
    </row>
    <row r="43" spans="1:14" ht="20" customHeight="1">
      <c r="A43" s="2"/>
      <c r="B43" s="2"/>
      <c r="C43" s="13" t="s">
        <v>185</v>
      </c>
      <c r="D43" s="14">
        <f>SUM(D37:D42)</f>
        <v>1749.3</v>
      </c>
      <c r="E43" s="14">
        <f>SUM(E37:E42)</f>
        <v>2276.6000000000004</v>
      </c>
      <c r="F43" s="14">
        <f>SUM(F37:F42)</f>
        <v>2222.6</v>
      </c>
      <c r="G43" s="14">
        <f>SUM(G37:G42)</f>
        <v>2172.8999999999996</v>
      </c>
      <c r="H43" s="31">
        <f>SUM(H37,H38,H39,H40,'03 Schedules'!H255,'03 Schedules'!H256)</f>
        <v>2225.8999999999996</v>
      </c>
      <c r="I43" s="31">
        <f>SUM(I37,I38,I39,I40,'03 Schedules'!I255,'03 Schedules'!I256)</f>
        <v>2287.3999999999996</v>
      </c>
      <c r="J43" s="31">
        <f>SUM(J37,J38,J39,J40,'03 Schedules'!J255,'03 Schedules'!J256)</f>
        <v>2313.3999999999996</v>
      </c>
      <c r="K43" s="31">
        <f>SUM(K37,K38,K39,K40,'03 Schedules'!K255,'03 Schedules'!K256)</f>
        <v>2387.8999999999996</v>
      </c>
      <c r="L43" s="31">
        <f>SUM(L37,L38,L39,L40,'03 Schedules'!L255,'03 Schedules'!L256)</f>
        <v>2459.8999999999996</v>
      </c>
      <c r="M43" s="2"/>
      <c r="N43" s="2" t="s">
        <v>186</v>
      </c>
    </row>
    <row r="44" spans="1:14" ht="20" customHeight="1">
      <c r="A44" s="2"/>
      <c r="B44" s="2"/>
      <c r="C44" s="2"/>
      <c r="D44" s="3"/>
      <c r="E44" s="3"/>
      <c r="F44" s="3"/>
      <c r="G44" s="3"/>
      <c r="H44" s="24"/>
      <c r="I44" s="24"/>
      <c r="J44" s="24"/>
      <c r="K44" s="24"/>
      <c r="L44" s="24"/>
      <c r="M44" s="2"/>
      <c r="N44" s="2"/>
    </row>
    <row r="45" spans="1:14" ht="20" customHeight="1">
      <c r="A45" s="2"/>
      <c r="B45" s="2"/>
      <c r="C45" s="2" t="s">
        <v>187</v>
      </c>
      <c r="D45" s="3"/>
      <c r="E45" s="3"/>
      <c r="F45" s="3"/>
      <c r="G45" s="3"/>
      <c r="H45" s="24"/>
      <c r="I45" s="24"/>
      <c r="J45" s="24"/>
      <c r="K45" s="24"/>
      <c r="L45" s="24"/>
      <c r="M45" s="2"/>
      <c r="N45" s="2"/>
    </row>
    <row r="46" spans="1:14" ht="20" customHeight="1">
      <c r="A46" s="2"/>
      <c r="B46" s="2"/>
      <c r="C46" s="2" t="s">
        <v>188</v>
      </c>
      <c r="D46" s="28">
        <v>662.2</v>
      </c>
      <c r="E46" s="28">
        <v>769</v>
      </c>
      <c r="F46" s="28">
        <v>865.2</v>
      </c>
      <c r="G46" s="28">
        <v>949.5</v>
      </c>
      <c r="H46" s="30">
        <f>'03 Schedules'!H107</f>
        <v>957.55631310684976</v>
      </c>
      <c r="I46" s="30">
        <f>'03 Schedules'!I107</f>
        <v>1067.5526062404388</v>
      </c>
      <c r="J46" s="30">
        <f>'03 Schedules'!J107</f>
        <v>1072.7661386349491</v>
      </c>
      <c r="K46" s="30">
        <f>'03 Schedules'!K107</f>
        <v>1178.5888201964071</v>
      </c>
      <c r="L46" s="30">
        <f>'03 Schedules'!L107</f>
        <v>1174.0771117823601</v>
      </c>
      <c r="M46" s="2"/>
      <c r="N46" s="2" t="s">
        <v>189</v>
      </c>
    </row>
    <row r="47" spans="1:14" ht="20" customHeight="1">
      <c r="A47" s="2"/>
      <c r="B47" s="2"/>
      <c r="C47" s="2" t="s">
        <v>190</v>
      </c>
      <c r="D47" s="28">
        <v>1425.5</v>
      </c>
      <c r="E47" s="28">
        <v>1452.8</v>
      </c>
      <c r="F47" s="28">
        <v>1508.4</v>
      </c>
      <c r="G47" s="28">
        <v>1660.6</v>
      </c>
      <c r="H47" s="30">
        <f>'03 Schedules'!H118</f>
        <v>1647.9218310000001</v>
      </c>
      <c r="I47" s="30">
        <f>'03 Schedules'!I118</f>
        <v>1691.73714086</v>
      </c>
      <c r="J47" s="30">
        <f>'03 Schedules'!J118</f>
        <v>1736.9569836073001</v>
      </c>
      <c r="K47" s="30">
        <f>'03 Schedules'!K118</f>
        <v>1781.537420787665</v>
      </c>
      <c r="L47" s="30">
        <f>'03 Schedules'!L118</f>
        <v>1825.4343045231101</v>
      </c>
      <c r="M47" s="2"/>
      <c r="N47" s="2" t="s">
        <v>191</v>
      </c>
    </row>
    <row r="48" spans="1:14" ht="20" customHeight="1">
      <c r="A48" s="2"/>
      <c r="B48" s="2"/>
      <c r="C48" s="2" t="s">
        <v>192</v>
      </c>
      <c r="D48" s="28">
        <v>32.700000000000003</v>
      </c>
      <c r="E48" s="28">
        <v>30.7</v>
      </c>
      <c r="F48" s="28">
        <v>34.799999999999997</v>
      </c>
      <c r="G48" s="28">
        <v>29.7</v>
      </c>
      <c r="H48" s="30">
        <f>'03 Schedules'!H96</f>
        <v>32</v>
      </c>
      <c r="I48" s="30">
        <f>'03 Schedules'!I96</f>
        <v>34</v>
      </c>
      <c r="J48" s="30">
        <f>'03 Schedules'!J96</f>
        <v>36</v>
      </c>
      <c r="K48" s="30">
        <f>'03 Schedules'!K96</f>
        <v>38</v>
      </c>
      <c r="L48" s="30">
        <f>'03 Schedules'!L96</f>
        <v>40</v>
      </c>
      <c r="M48" s="2"/>
      <c r="N48" s="2" t="s">
        <v>193</v>
      </c>
    </row>
    <row r="49" spans="1:14" ht="20" customHeight="1">
      <c r="A49" s="2"/>
      <c r="B49" s="2"/>
      <c r="C49" s="2" t="s">
        <v>194</v>
      </c>
      <c r="D49" s="28">
        <v>9.1</v>
      </c>
      <c r="E49" s="28">
        <v>6.9</v>
      </c>
      <c r="F49" s="28">
        <v>31.8</v>
      </c>
      <c r="G49" s="28">
        <v>6.4</v>
      </c>
      <c r="H49" s="30">
        <f>'03 Schedules'!H257</f>
        <v>6.4</v>
      </c>
      <c r="I49" s="30">
        <f>'03 Schedules'!I257</f>
        <v>6.4</v>
      </c>
      <c r="J49" s="30">
        <f>'03 Schedules'!J257</f>
        <v>6.4</v>
      </c>
      <c r="K49" s="30">
        <f>'03 Schedules'!K257</f>
        <v>6.4</v>
      </c>
      <c r="L49" s="30">
        <f>'03 Schedules'!L257</f>
        <v>6.4</v>
      </c>
      <c r="M49" s="2"/>
      <c r="N49" s="2" t="s">
        <v>195</v>
      </c>
    </row>
    <row r="50" spans="1:14" ht="20" customHeight="1">
      <c r="A50" s="2"/>
      <c r="B50" s="2"/>
      <c r="C50" s="2" t="s">
        <v>196</v>
      </c>
      <c r="D50" s="28">
        <v>0</v>
      </c>
      <c r="E50" s="28">
        <v>0</v>
      </c>
      <c r="F50" s="28">
        <v>9.3000000000000007</v>
      </c>
      <c r="G50" s="28">
        <v>0</v>
      </c>
      <c r="H50" s="30">
        <f>'03 Schedules'!H258</f>
        <v>0</v>
      </c>
      <c r="I50" s="30">
        <f>'03 Schedules'!I258</f>
        <v>0</v>
      </c>
      <c r="J50" s="30">
        <f>'03 Schedules'!J258</f>
        <v>0</v>
      </c>
      <c r="K50" s="30">
        <f>'03 Schedules'!K258</f>
        <v>0</v>
      </c>
      <c r="L50" s="30">
        <f>'03 Schedules'!L258</f>
        <v>0</v>
      </c>
      <c r="M50" s="2"/>
      <c r="N50" s="2" t="s">
        <v>197</v>
      </c>
    </row>
    <row r="51" spans="1:14" ht="20" customHeight="1">
      <c r="A51" s="2"/>
      <c r="B51" s="2"/>
      <c r="C51" s="2" t="s">
        <v>198</v>
      </c>
      <c r="D51" s="28">
        <v>105</v>
      </c>
      <c r="E51" s="28">
        <v>188.3</v>
      </c>
      <c r="F51" s="28">
        <v>200.4</v>
      </c>
      <c r="G51" s="28">
        <v>96.2</v>
      </c>
      <c r="H51" s="24">
        <f>H137+(G51-G137)</f>
        <v>111.7481546977162</v>
      </c>
      <c r="I51" s="30">
        <f>I137+'03 Schedules'!I152</f>
        <v>99.999999999999957</v>
      </c>
      <c r="J51" s="30">
        <f>J137+'03 Schedules'!J152</f>
        <v>99.999999999999957</v>
      </c>
      <c r="K51" s="30">
        <f>K137+'03 Schedules'!K152</f>
        <v>99.999999999999957</v>
      </c>
      <c r="L51" s="30">
        <f>L137+'03 Schedules'!L152</f>
        <v>99.999999999999957</v>
      </c>
      <c r="M51" s="2"/>
      <c r="N51" s="2" t="s">
        <v>199</v>
      </c>
    </row>
    <row r="52" spans="1:14" ht="20" customHeight="1">
      <c r="A52" s="2"/>
      <c r="B52" s="2"/>
      <c r="C52" s="13" t="s">
        <v>200</v>
      </c>
      <c r="D52" s="14">
        <f>SUM(D46:D51)</f>
        <v>2234.4999999999995</v>
      </c>
      <c r="E52" s="14">
        <f>SUM(E46:E51)</f>
        <v>2447.7000000000003</v>
      </c>
      <c r="F52" s="14">
        <f>SUM(F46:F51)</f>
        <v>2649.900000000001</v>
      </c>
      <c r="G52" s="14">
        <f>SUM(G46:G51)</f>
        <v>2742.3999999999996</v>
      </c>
      <c r="H52" s="31">
        <f>SUM(H46,H47,H48,'03 Schedules'!H257,'03 Schedules'!H258,H51)</f>
        <v>2755.626298804566</v>
      </c>
      <c r="I52" s="31">
        <f>SUM(I46,I47,I48,'03 Schedules'!I257,'03 Schedules'!I258,I51)</f>
        <v>2899.689747100439</v>
      </c>
      <c r="J52" s="31">
        <f>SUM(J46,J47,J48,'03 Schedules'!J257,'03 Schedules'!J258,J51)</f>
        <v>2952.1231222422493</v>
      </c>
      <c r="K52" s="31">
        <f>SUM(K46,K47,K48,'03 Schedules'!K257,'03 Schedules'!K258,K51)</f>
        <v>3104.526240984072</v>
      </c>
      <c r="L52" s="31">
        <f>SUM(L46,L47,L48,'03 Schedules'!L257,'03 Schedules'!L258,L51)</f>
        <v>3145.9114163054705</v>
      </c>
      <c r="M52" s="2"/>
      <c r="N52" s="2" t="s">
        <v>201</v>
      </c>
    </row>
    <row r="53" spans="1:14" ht="20" customHeight="1">
      <c r="A53" s="2"/>
      <c r="B53" s="2"/>
      <c r="C53" s="13" t="s">
        <v>202</v>
      </c>
      <c r="D53" s="14">
        <f>SUM(D43,D52)</f>
        <v>3983.7999999999993</v>
      </c>
      <c r="E53" s="14">
        <f>SUM(E43,E52)</f>
        <v>4724.3000000000011</v>
      </c>
      <c r="F53" s="14">
        <f>SUM(F43,F52)</f>
        <v>4872.5000000000009</v>
      </c>
      <c r="G53" s="14">
        <f>SUM(G43,G52)</f>
        <v>4915.2999999999993</v>
      </c>
      <c r="H53" s="26">
        <f>H43+H52</f>
        <v>4981.5262988045652</v>
      </c>
      <c r="I53" s="26">
        <f>I43+I52</f>
        <v>5187.0897471004391</v>
      </c>
      <c r="J53" s="26">
        <f>J43+J52</f>
        <v>5265.523122242249</v>
      </c>
      <c r="K53" s="26">
        <f>K43+K52</f>
        <v>5492.4262409840721</v>
      </c>
      <c r="L53" s="26">
        <f>L43+L52</f>
        <v>5605.8114163054706</v>
      </c>
      <c r="M53" s="2"/>
      <c r="N53" s="2" t="s">
        <v>203</v>
      </c>
    </row>
    <row r="54" spans="1:14" ht="20" customHeight="1">
      <c r="A54" s="2"/>
      <c r="B54" s="2"/>
      <c r="C54" s="2"/>
      <c r="D54" s="3"/>
      <c r="E54" s="3"/>
      <c r="F54" s="3"/>
      <c r="G54" s="3"/>
      <c r="H54" s="24"/>
      <c r="I54" s="24"/>
      <c r="J54" s="24"/>
      <c r="K54" s="24"/>
      <c r="L54" s="24"/>
      <c r="M54" s="2"/>
      <c r="N54" s="2"/>
    </row>
    <row r="55" spans="1:14" ht="20" customHeight="1">
      <c r="A55" s="2"/>
      <c r="B55" s="2"/>
      <c r="C55" s="2" t="s">
        <v>204</v>
      </c>
      <c r="D55" s="3"/>
      <c r="E55" s="3"/>
      <c r="F55" s="3"/>
      <c r="G55" s="3"/>
      <c r="H55" s="24"/>
      <c r="I55" s="24"/>
      <c r="J55" s="24"/>
      <c r="K55" s="24"/>
      <c r="L55" s="24"/>
      <c r="M55" s="2"/>
      <c r="N55" s="2"/>
    </row>
    <row r="56" spans="1:14" ht="20" customHeight="1">
      <c r="A56" s="2"/>
      <c r="B56" s="2"/>
      <c r="C56" s="2" t="s">
        <v>205</v>
      </c>
      <c r="D56" s="3"/>
      <c r="E56" s="3"/>
      <c r="F56" s="3"/>
      <c r="G56" s="3"/>
      <c r="H56" s="24"/>
      <c r="I56" s="24"/>
      <c r="J56" s="24"/>
      <c r="K56" s="24"/>
      <c r="L56" s="24"/>
      <c r="M56" s="2"/>
      <c r="N56" s="2"/>
    </row>
    <row r="57" spans="1:14" ht="20" customHeight="1">
      <c r="A57" s="2"/>
      <c r="B57" s="2"/>
      <c r="C57" s="2" t="s">
        <v>206</v>
      </c>
      <c r="D57" s="28">
        <v>-102.3</v>
      </c>
      <c r="E57" s="28">
        <v>-58.7</v>
      </c>
      <c r="F57" s="28">
        <v>-60.6</v>
      </c>
      <c r="G57" s="28">
        <v>-96</v>
      </c>
      <c r="H57" s="30">
        <f>-'03 Schedules'!H156</f>
        <v>-96</v>
      </c>
      <c r="I57" s="30">
        <f>-'03 Schedules'!I156</f>
        <v>-96</v>
      </c>
      <c r="J57" s="30">
        <f>-'03 Schedules'!J156</f>
        <v>-96</v>
      </c>
      <c r="K57" s="30">
        <f>-'03 Schedules'!K156</f>
        <v>-96</v>
      </c>
      <c r="L57" s="30">
        <f>-'03 Schedules'!L156</f>
        <v>-96</v>
      </c>
      <c r="M57" s="2"/>
      <c r="N57" s="2" t="s">
        <v>207</v>
      </c>
    </row>
    <row r="58" spans="1:14" ht="20" customHeight="1">
      <c r="A58" s="2"/>
      <c r="B58" s="2"/>
      <c r="C58" s="2" t="s">
        <v>208</v>
      </c>
      <c r="D58" s="28">
        <v>0</v>
      </c>
      <c r="E58" s="28">
        <v>0</v>
      </c>
      <c r="F58" s="28">
        <v>-250</v>
      </c>
      <c r="G58" s="28">
        <v>-112.9</v>
      </c>
      <c r="H58" s="30">
        <f>'03 Schedules'!H142</f>
        <v>0</v>
      </c>
      <c r="I58" s="30">
        <f>-'03 Schedules'!I157</f>
        <v>-300</v>
      </c>
      <c r="J58" s="30">
        <f>-'03 Schedules'!J157</f>
        <v>0</v>
      </c>
      <c r="K58" s="30">
        <f>-'03 Schedules'!K157</f>
        <v>0</v>
      </c>
      <c r="L58" s="30">
        <f>-'03 Schedules'!L157</f>
        <v>-300</v>
      </c>
      <c r="M58" s="2"/>
      <c r="N58" s="2" t="s">
        <v>209</v>
      </c>
    </row>
    <row r="59" spans="1:14" ht="20" customHeight="1">
      <c r="A59" s="2"/>
      <c r="B59" s="2"/>
      <c r="C59" s="2" t="s">
        <v>210</v>
      </c>
      <c r="D59" s="28">
        <v>-791.1</v>
      </c>
      <c r="E59" s="28">
        <v>-991.8</v>
      </c>
      <c r="F59" s="28">
        <v>-1076.7</v>
      </c>
      <c r="G59" s="28">
        <v>-1132.4000000000001</v>
      </c>
      <c r="H59" s="30">
        <f>-'03 Schedules'!H130</f>
        <v>-1226.1082804712332</v>
      </c>
      <c r="I59" s="30">
        <f>-'03 Schedules'!I130</f>
        <v>-1269.1519653629593</v>
      </c>
      <c r="J59" s="30">
        <f>-'03 Schedules'!J130</f>
        <v>-1364.5499523962062</v>
      </c>
      <c r="K59" s="30">
        <f>-'03 Schedules'!K130</f>
        <v>-1403.0834891181146</v>
      </c>
      <c r="L59" s="30">
        <f>-'03 Schedules'!L130</f>
        <v>-1490.8617778068578</v>
      </c>
      <c r="M59" s="2"/>
      <c r="N59" s="2" t="s">
        <v>211</v>
      </c>
    </row>
    <row r="60" spans="1:14" ht="20" customHeight="1">
      <c r="A60" s="2"/>
      <c r="B60" s="2"/>
      <c r="C60" s="2" t="s">
        <v>212</v>
      </c>
      <c r="D60" s="28">
        <v>-146.19999999999999</v>
      </c>
      <c r="E60" s="28">
        <v>-167.8</v>
      </c>
      <c r="F60" s="28">
        <v>-170.8</v>
      </c>
      <c r="G60" s="28">
        <v>-168.1</v>
      </c>
      <c r="H60" s="30">
        <f>-'03 Schedules'!H87</f>
        <v>-163.26055200000005</v>
      </c>
      <c r="I60" s="30">
        <f>-'03 Schedules'!I87</f>
        <v>-157.96936125600004</v>
      </c>
      <c r="J60" s="30">
        <f>-'03 Schedules'!J87</f>
        <v>-152.08179868005604</v>
      </c>
      <c r="K60" s="30">
        <f>-'03 Schedules'!K87</f>
        <v>-145.74188861405884</v>
      </c>
      <c r="L60" s="30">
        <f>-'03 Schedules'!L87</f>
        <v>-139.08498304476177</v>
      </c>
      <c r="M60" s="2"/>
      <c r="N60" s="2" t="s">
        <v>213</v>
      </c>
    </row>
    <row r="61" spans="1:14" ht="20" customHeight="1">
      <c r="A61" s="2"/>
      <c r="B61" s="2"/>
      <c r="C61" s="2" t="s">
        <v>214</v>
      </c>
      <c r="D61" s="28">
        <v>-40.799999999999997</v>
      </c>
      <c r="E61" s="28">
        <v>-18.8</v>
      </c>
      <c r="F61" s="28">
        <v>-8.3000000000000007</v>
      </c>
      <c r="G61" s="28">
        <v>-35.5</v>
      </c>
      <c r="H61" s="30">
        <f>'03 Schedules'!H259</f>
        <v>-35.5</v>
      </c>
      <c r="I61" s="30">
        <f>'03 Schedules'!I259</f>
        <v>-35.5</v>
      </c>
      <c r="J61" s="30">
        <f>'03 Schedules'!J259</f>
        <v>-35.5</v>
      </c>
      <c r="K61" s="30">
        <f>'03 Schedules'!K259</f>
        <v>-35.5</v>
      </c>
      <c r="L61" s="30">
        <f>'03 Schedules'!L259</f>
        <v>-35.5</v>
      </c>
      <c r="M61" s="2"/>
      <c r="N61" s="2" t="s">
        <v>215</v>
      </c>
    </row>
    <row r="62" spans="1:14" ht="20" customHeight="1">
      <c r="A62" s="2"/>
      <c r="B62" s="2"/>
      <c r="C62" s="2" t="s">
        <v>216</v>
      </c>
      <c r="D62" s="28">
        <v>-12.9</v>
      </c>
      <c r="E62" s="28">
        <v>-8.6</v>
      </c>
      <c r="F62" s="28">
        <v>0</v>
      </c>
      <c r="G62" s="28">
        <v>-9.1999999999999993</v>
      </c>
      <c r="H62" s="30">
        <f>'03 Schedules'!H260</f>
        <v>-40.882254583333179</v>
      </c>
      <c r="I62" s="30">
        <f>'03 Schedules'!I260</f>
        <v>-40.882254583333179</v>
      </c>
      <c r="J62" s="30">
        <f>'03 Schedules'!J260</f>
        <v>-40.882254583333179</v>
      </c>
      <c r="K62" s="30">
        <f>'03 Schedules'!K260</f>
        <v>-40.882254583333179</v>
      </c>
      <c r="L62" s="30">
        <f>'03 Schedules'!L260</f>
        <v>-40.882254583333179</v>
      </c>
      <c r="M62" s="2"/>
      <c r="N62" s="2" t="s">
        <v>217</v>
      </c>
    </row>
    <row r="63" spans="1:14" ht="20" customHeight="1">
      <c r="A63" s="2"/>
      <c r="B63" s="2"/>
      <c r="C63" s="13" t="s">
        <v>218</v>
      </c>
      <c r="D63" s="14">
        <f>SUM(D57:D62)</f>
        <v>-1093.3</v>
      </c>
      <c r="E63" s="14">
        <f>SUM(E57:E62)</f>
        <v>-1245.6999999999998</v>
      </c>
      <c r="F63" s="14">
        <f>SUM(F57:F62)</f>
        <v>-1566.4</v>
      </c>
      <c r="G63" s="14">
        <f>SUM(G57:G62)</f>
        <v>-1554.1000000000001</v>
      </c>
      <c r="H63" s="31">
        <f>SUM(H57,H58,H59,H60,'03 Schedules'!H259,'03 Schedules'!H260)</f>
        <v>-1561.7510870545664</v>
      </c>
      <c r="I63" s="31">
        <f>SUM(I57,I58,I59,I60,'03 Schedules'!I259,'03 Schedules'!I260)</f>
        <v>-1899.5035812022925</v>
      </c>
      <c r="J63" s="31">
        <f>SUM(J57,J58,J59,J60,'03 Schedules'!J259,'03 Schedules'!J260)</f>
        <v>-1689.0140056595953</v>
      </c>
      <c r="K63" s="31">
        <f>SUM(K57,K58,K59,K60,'03 Schedules'!K259,'03 Schedules'!K260)</f>
        <v>-1721.2076323155065</v>
      </c>
      <c r="L63" s="31">
        <f>SUM(L57,L58,L59,L60,'03 Schedules'!L259,'03 Schedules'!L260)</f>
        <v>-2102.3290154349529</v>
      </c>
      <c r="M63" s="2"/>
      <c r="N63" s="2" t="s">
        <v>219</v>
      </c>
    </row>
    <row r="64" spans="1:14" ht="20" customHeight="1">
      <c r="A64" s="2"/>
      <c r="B64" s="2"/>
      <c r="C64" s="2"/>
      <c r="D64" s="3"/>
      <c r="E64" s="3"/>
      <c r="F64" s="3"/>
      <c r="G64" s="3"/>
      <c r="H64" s="24"/>
      <c r="I64" s="24"/>
      <c r="J64" s="24"/>
      <c r="K64" s="24"/>
      <c r="L64" s="24"/>
      <c r="M64" s="2"/>
      <c r="N64" s="2"/>
    </row>
    <row r="65" spans="1:14" ht="20" customHeight="1">
      <c r="A65" s="2"/>
      <c r="B65" s="2"/>
      <c r="C65" s="2" t="s">
        <v>220</v>
      </c>
      <c r="D65" s="3"/>
      <c r="E65" s="3"/>
      <c r="F65" s="3"/>
      <c r="G65" s="3"/>
      <c r="H65" s="24"/>
      <c r="I65" s="24"/>
      <c r="J65" s="24"/>
      <c r="K65" s="24"/>
      <c r="L65" s="24"/>
      <c r="M65" s="2"/>
      <c r="N65" s="2"/>
    </row>
    <row r="66" spans="1:14" ht="20" customHeight="1">
      <c r="A66" s="2"/>
      <c r="B66" s="2"/>
      <c r="C66" s="2" t="s">
        <v>221</v>
      </c>
      <c r="D66" s="28">
        <v>-790.7</v>
      </c>
      <c r="E66" s="28">
        <v>-820.3</v>
      </c>
      <c r="F66" s="28">
        <v>-543.79999999999995</v>
      </c>
      <c r="G66" s="28">
        <v>-600</v>
      </c>
      <c r="H66" s="30">
        <f>-'03 Schedules'!H158</f>
        <v>-600</v>
      </c>
      <c r="I66" s="30">
        <f>-'03 Schedules'!I158</f>
        <v>-300</v>
      </c>
      <c r="J66" s="30">
        <f>-'03 Schedules'!J158</f>
        <v>-600</v>
      </c>
      <c r="K66" s="30">
        <f>-'03 Schedules'!K158</f>
        <v>-600</v>
      </c>
      <c r="L66" s="30">
        <f>-'03 Schedules'!L158</f>
        <v>-300</v>
      </c>
      <c r="M66" s="2"/>
      <c r="N66" s="2" t="s">
        <v>222</v>
      </c>
    </row>
    <row r="67" spans="1:14" ht="20" customHeight="1">
      <c r="A67" s="2"/>
      <c r="B67" s="2"/>
      <c r="C67" s="2" t="s">
        <v>223</v>
      </c>
      <c r="D67" s="28">
        <v>-33.799999999999997</v>
      </c>
      <c r="E67" s="28">
        <v>-52.4</v>
      </c>
      <c r="F67" s="28">
        <v>-55.7</v>
      </c>
      <c r="G67" s="28">
        <v>-58.5</v>
      </c>
      <c r="H67" s="30">
        <f>'03 Schedules'!H261</f>
        <v>-58.5</v>
      </c>
      <c r="I67" s="30">
        <f>'03 Schedules'!I261</f>
        <v>-58.5</v>
      </c>
      <c r="J67" s="30">
        <f>'03 Schedules'!J261</f>
        <v>-58.5</v>
      </c>
      <c r="K67" s="30">
        <f>'03 Schedules'!K261</f>
        <v>-58.5</v>
      </c>
      <c r="L67" s="30">
        <f>'03 Schedules'!L261</f>
        <v>-58.5</v>
      </c>
      <c r="M67" s="2"/>
      <c r="N67" s="2" t="s">
        <v>224</v>
      </c>
    </row>
    <row r="68" spans="1:14" ht="20" customHeight="1">
      <c r="A68" s="2"/>
      <c r="B68" s="2"/>
      <c r="C68" s="2" t="s">
        <v>225</v>
      </c>
      <c r="D68" s="28">
        <v>-877.1</v>
      </c>
      <c r="E68" s="28">
        <v>-869.9</v>
      </c>
      <c r="F68" s="28">
        <v>-843.6</v>
      </c>
      <c r="G68" s="28">
        <v>-831.7</v>
      </c>
      <c r="H68" s="30">
        <f>-'03 Schedules'!H88</f>
        <v>-808.52844800000014</v>
      </c>
      <c r="I68" s="30">
        <f>-'03 Schedules'!I88</f>
        <v>-782.32445574400015</v>
      </c>
      <c r="J68" s="30">
        <f>-'03 Schedules'!J88</f>
        <v>-753.16700298694411</v>
      </c>
      <c r="K68" s="30">
        <f>-'03 Schedules'!K88</f>
        <v>-721.76935313629133</v>
      </c>
      <c r="L68" s="30">
        <f>-'03 Schedules'!L88</f>
        <v>-688.80182079310578</v>
      </c>
      <c r="M68" s="2"/>
      <c r="N68" s="2" t="s">
        <v>226</v>
      </c>
    </row>
    <row r="69" spans="1:14" ht="20" customHeight="1">
      <c r="A69" s="2"/>
      <c r="B69" s="2"/>
      <c r="C69" s="2" t="s">
        <v>227</v>
      </c>
      <c r="D69" s="28">
        <v>-9.5</v>
      </c>
      <c r="E69" s="28">
        <v>-37.4</v>
      </c>
      <c r="F69" s="28">
        <v>-39.1</v>
      </c>
      <c r="G69" s="28">
        <v>-38.200000000000003</v>
      </c>
      <c r="H69" s="30">
        <f>'03 Schedules'!H262</f>
        <v>-38.200000000000003</v>
      </c>
      <c r="I69" s="30">
        <f>'03 Schedules'!I262</f>
        <v>-38.200000000000003</v>
      </c>
      <c r="J69" s="30">
        <f>'03 Schedules'!J262</f>
        <v>-38.200000000000003</v>
      </c>
      <c r="K69" s="30">
        <f>'03 Schedules'!K262</f>
        <v>-38.200000000000003</v>
      </c>
      <c r="L69" s="30">
        <f>'03 Schedules'!L262</f>
        <v>-38.200000000000003</v>
      </c>
      <c r="M69" s="2"/>
      <c r="N69" s="2" t="s">
        <v>228</v>
      </c>
    </row>
    <row r="70" spans="1:14" ht="20" customHeight="1">
      <c r="A70" s="2"/>
      <c r="B70" s="2"/>
      <c r="C70" s="2" t="s">
        <v>229</v>
      </c>
      <c r="D70" s="28">
        <v>-14.3</v>
      </c>
      <c r="E70" s="28">
        <v>-11.7</v>
      </c>
      <c r="F70" s="28">
        <v>-11.5</v>
      </c>
      <c r="G70" s="28">
        <v>-17.600000000000001</v>
      </c>
      <c r="H70" s="30">
        <f>'03 Schedules'!H263</f>
        <v>-17.600000000000001</v>
      </c>
      <c r="I70" s="30">
        <f>'03 Schedules'!I263</f>
        <v>-17.600000000000001</v>
      </c>
      <c r="J70" s="30">
        <f>'03 Schedules'!J263</f>
        <v>-17.600000000000001</v>
      </c>
      <c r="K70" s="30">
        <f>'03 Schedules'!K263</f>
        <v>-17.600000000000001</v>
      </c>
      <c r="L70" s="30">
        <f>'03 Schedules'!L263</f>
        <v>-17.600000000000001</v>
      </c>
      <c r="M70" s="2"/>
      <c r="N70" s="2" t="s">
        <v>230</v>
      </c>
    </row>
    <row r="71" spans="1:14" ht="20" customHeight="1">
      <c r="A71" s="2"/>
      <c r="B71" s="2"/>
      <c r="C71" s="2" t="s">
        <v>231</v>
      </c>
      <c r="D71" s="28">
        <v>0</v>
      </c>
      <c r="E71" s="28">
        <v>-48.1</v>
      </c>
      <c r="F71" s="28">
        <v>-58.1</v>
      </c>
      <c r="G71" s="28">
        <v>-34.700000000000003</v>
      </c>
      <c r="H71" s="30">
        <f>'03 Schedules'!H264</f>
        <v>-35</v>
      </c>
      <c r="I71" s="30">
        <f>'03 Schedules'!I264</f>
        <v>-35</v>
      </c>
      <c r="J71" s="30">
        <f>'03 Schedules'!J264</f>
        <v>-35</v>
      </c>
      <c r="K71" s="30">
        <f>'03 Schedules'!K264</f>
        <v>-35</v>
      </c>
      <c r="L71" s="30">
        <f>'03 Schedules'!L264</f>
        <v>-35</v>
      </c>
      <c r="M71" s="2"/>
      <c r="N71" s="2" t="s">
        <v>232</v>
      </c>
    </row>
    <row r="72" spans="1:14" ht="20" customHeight="1">
      <c r="A72" s="2"/>
      <c r="B72" s="2"/>
      <c r="C72" s="13" t="s">
        <v>233</v>
      </c>
      <c r="D72" s="14">
        <f>SUM(D66:D71)</f>
        <v>-1725.3999999999999</v>
      </c>
      <c r="E72" s="14">
        <f>SUM(E66:E71)</f>
        <v>-1839.8</v>
      </c>
      <c r="F72" s="14">
        <f>SUM(F66:F71)</f>
        <v>-1551.7999999999997</v>
      </c>
      <c r="G72" s="14">
        <f>SUM(G66:G71)</f>
        <v>-1580.7</v>
      </c>
      <c r="H72" s="31">
        <f>SUM(H66,'03 Schedules'!H261,H68,'03 Schedules'!H262,'03 Schedules'!H263,'03 Schedules'!H264)</f>
        <v>-1557.828448</v>
      </c>
      <c r="I72" s="31">
        <f>SUM(I66,'03 Schedules'!I261,I68,'03 Schedules'!I262,'03 Schedules'!I263,'03 Schedules'!I264)</f>
        <v>-1231.6244557440002</v>
      </c>
      <c r="J72" s="31">
        <f>SUM(J66,'03 Schedules'!J261,J68,'03 Schedules'!J262,'03 Schedules'!J263,'03 Schedules'!J264)</f>
        <v>-1502.4670029869442</v>
      </c>
      <c r="K72" s="31">
        <f>SUM(K66,'03 Schedules'!K261,K68,'03 Schedules'!K262,'03 Schedules'!K263,'03 Schedules'!K264)</f>
        <v>-1471.0693531362913</v>
      </c>
      <c r="L72" s="31">
        <f>SUM(L66,'03 Schedules'!L261,L68,'03 Schedules'!L262,'03 Schedules'!L263,'03 Schedules'!L264)</f>
        <v>-1138.1018207931058</v>
      </c>
      <c r="M72" s="2"/>
      <c r="N72" s="2" t="s">
        <v>234</v>
      </c>
    </row>
    <row r="73" spans="1:14" ht="20" customHeight="1">
      <c r="A73" s="2"/>
      <c r="B73" s="2"/>
      <c r="C73" s="13" t="s">
        <v>235</v>
      </c>
      <c r="D73" s="14">
        <f>SUM(D63,D72)</f>
        <v>-2818.7</v>
      </c>
      <c r="E73" s="14">
        <f>SUM(E63,E72)</f>
        <v>-3085.5</v>
      </c>
      <c r="F73" s="14">
        <f>SUM(F63,F72)</f>
        <v>-3118.2</v>
      </c>
      <c r="G73" s="14">
        <f>SUM(G63,G72)</f>
        <v>-3134.8</v>
      </c>
      <c r="H73" s="26">
        <f>H63+H72</f>
        <v>-3119.5795350545663</v>
      </c>
      <c r="I73" s="26">
        <f>I63+I72</f>
        <v>-3131.1280369462929</v>
      </c>
      <c r="J73" s="26">
        <f>J63+J72</f>
        <v>-3191.4810086465395</v>
      </c>
      <c r="K73" s="26">
        <f>K63+K72</f>
        <v>-3192.2769854517978</v>
      </c>
      <c r="L73" s="26">
        <f>L63+L72</f>
        <v>-3240.430836228059</v>
      </c>
      <c r="M73" s="2"/>
      <c r="N73" s="2" t="s">
        <v>236</v>
      </c>
    </row>
    <row r="74" spans="1:14" ht="20" customHeight="1">
      <c r="A74" s="2"/>
      <c r="B74" s="2"/>
      <c r="C74" s="2"/>
      <c r="D74" s="3"/>
      <c r="E74" s="3"/>
      <c r="F74" s="3"/>
      <c r="G74" s="3"/>
      <c r="H74" s="24"/>
      <c r="I74" s="24"/>
      <c r="J74" s="24"/>
      <c r="K74" s="24"/>
      <c r="L74" s="24"/>
      <c r="M74" s="2"/>
      <c r="N74" s="2"/>
    </row>
    <row r="75" spans="1:14" ht="20" customHeight="1">
      <c r="A75" s="2"/>
      <c r="B75" s="2"/>
      <c r="C75" s="13" t="s">
        <v>237</v>
      </c>
      <c r="D75" s="14">
        <f>SUM(D53,D73)</f>
        <v>1165.0999999999995</v>
      </c>
      <c r="E75" s="14">
        <f>SUM(E53,E73)</f>
        <v>1638.8000000000011</v>
      </c>
      <c r="F75" s="14">
        <f>SUM(F53,F73)</f>
        <v>1754.3000000000011</v>
      </c>
      <c r="G75" s="14">
        <f>SUM(G53,G73)</f>
        <v>1780.4999999999991</v>
      </c>
      <c r="H75" s="26">
        <f>H53+H73</f>
        <v>1861.9467637499988</v>
      </c>
      <c r="I75" s="26">
        <f>I53+I73</f>
        <v>2055.9617101541462</v>
      </c>
      <c r="J75" s="26">
        <f>J53+J73</f>
        <v>2074.0421135957095</v>
      </c>
      <c r="K75" s="26">
        <f>K53+K73</f>
        <v>2300.1492555322743</v>
      </c>
      <c r="L75" s="26">
        <f>L53+L73</f>
        <v>2365.3805800774117</v>
      </c>
      <c r="M75" s="2"/>
      <c r="N75" s="2" t="s">
        <v>238</v>
      </c>
    </row>
    <row r="76" spans="1:14" ht="20" customHeight="1">
      <c r="A76" s="2"/>
      <c r="B76" s="2"/>
      <c r="C76" s="2"/>
      <c r="D76" s="3"/>
      <c r="E76" s="3"/>
      <c r="F76" s="3"/>
      <c r="G76" s="3"/>
      <c r="H76" s="24"/>
      <c r="I76" s="24"/>
      <c r="J76" s="24"/>
      <c r="K76" s="24"/>
      <c r="L76" s="24"/>
      <c r="M76" s="2"/>
      <c r="N76" s="2"/>
    </row>
    <row r="77" spans="1:14" ht="20" customHeight="1">
      <c r="A77" s="2"/>
      <c r="B77" s="2"/>
      <c r="C77" s="2" t="s">
        <v>239</v>
      </c>
      <c r="D77" s="3"/>
      <c r="E77" s="3"/>
      <c r="F77" s="3"/>
      <c r="G77" s="3"/>
      <c r="H77" s="24"/>
      <c r="I77" s="24"/>
      <c r="J77" s="24"/>
      <c r="K77" s="24"/>
      <c r="L77" s="24"/>
      <c r="M77" s="2"/>
      <c r="N77" s="2"/>
    </row>
    <row r="78" spans="1:14" ht="20" customHeight="1">
      <c r="A78" s="2"/>
      <c r="B78" s="2"/>
      <c r="C78" s="2" t="s">
        <v>240</v>
      </c>
      <c r="D78" s="28">
        <v>12.9</v>
      </c>
      <c r="E78" s="28">
        <v>12.7</v>
      </c>
      <c r="F78" s="28">
        <v>12.4</v>
      </c>
      <c r="G78" s="28">
        <v>12.3</v>
      </c>
      <c r="H78" s="30">
        <f>'03 Schedules'!H232</f>
        <v>11.9</v>
      </c>
      <c r="I78" s="30">
        <f>'03 Schedules'!I232</f>
        <v>11.570369660504985</v>
      </c>
      <c r="J78" s="30">
        <f>'03 Schedules'!J232</f>
        <v>11.11739790546296</v>
      </c>
      <c r="K78" s="30">
        <f>'03 Schedules'!K232</f>
        <v>10.797032204346326</v>
      </c>
      <c r="L78" s="30">
        <f>'03 Schedules'!L232</f>
        <v>10.370581946206523</v>
      </c>
      <c r="M78" s="2"/>
      <c r="N78" s="2" t="s">
        <v>241</v>
      </c>
    </row>
    <row r="79" spans="1:14" ht="20" customHeight="1">
      <c r="A79" s="2"/>
      <c r="B79" s="2"/>
      <c r="C79" s="2" t="s">
        <v>242</v>
      </c>
      <c r="D79" s="28">
        <v>0.9</v>
      </c>
      <c r="E79" s="28">
        <v>54.2</v>
      </c>
      <c r="F79" s="28">
        <v>54.2</v>
      </c>
      <c r="G79" s="28">
        <v>54.2</v>
      </c>
      <c r="H79" s="30">
        <f>'03 Schedules'!H265</f>
        <v>54.2</v>
      </c>
      <c r="I79" s="30">
        <f>'03 Schedules'!I265</f>
        <v>54.2</v>
      </c>
      <c r="J79" s="30">
        <f>'03 Schedules'!J265</f>
        <v>54.2</v>
      </c>
      <c r="K79" s="30">
        <f>'03 Schedules'!K265</f>
        <v>54.2</v>
      </c>
      <c r="L79" s="30">
        <f>'03 Schedules'!L265</f>
        <v>54.2</v>
      </c>
      <c r="M79" s="2"/>
      <c r="N79" s="2" t="s">
        <v>243</v>
      </c>
    </row>
    <row r="80" spans="1:14" ht="20" customHeight="1">
      <c r="A80" s="2"/>
      <c r="B80" s="2"/>
      <c r="C80" s="2" t="s">
        <v>244</v>
      </c>
      <c r="D80" s="28">
        <v>17</v>
      </c>
      <c r="E80" s="28">
        <v>17.3</v>
      </c>
      <c r="F80" s="28">
        <v>17.600000000000001</v>
      </c>
      <c r="G80" s="28">
        <v>458.5</v>
      </c>
      <c r="H80" s="30">
        <f>'03 Schedules'!H238</f>
        <v>458.9</v>
      </c>
      <c r="I80" s="30">
        <f>'03 Schedules'!I238</f>
        <v>459.22963033949497</v>
      </c>
      <c r="J80" s="30">
        <f>'03 Schedules'!J238</f>
        <v>459.682602094537</v>
      </c>
      <c r="K80" s="30">
        <f>'03 Schedules'!K238</f>
        <v>460.00296779565366</v>
      </c>
      <c r="L80" s="30">
        <f>'03 Schedules'!L238</f>
        <v>460.42941805379348</v>
      </c>
      <c r="M80" s="2"/>
      <c r="N80" s="2" t="s">
        <v>245</v>
      </c>
    </row>
    <row r="81" spans="1:14" ht="20" customHeight="1">
      <c r="A81" s="2"/>
      <c r="B81" s="2"/>
      <c r="C81" s="2" t="s">
        <v>246</v>
      </c>
      <c r="D81" s="28">
        <v>-396.7</v>
      </c>
      <c r="E81" s="28">
        <v>-387.3</v>
      </c>
      <c r="F81" s="28">
        <v>-427.7</v>
      </c>
      <c r="G81" s="28">
        <v>-442.4</v>
      </c>
      <c r="H81" s="30">
        <f>'03 Schedules'!H266</f>
        <v>-470.4</v>
      </c>
      <c r="I81" s="30">
        <f>'03 Schedules'!I266</f>
        <v>-499.4</v>
      </c>
      <c r="J81" s="30">
        <f>'03 Schedules'!J266</f>
        <v>-529.4</v>
      </c>
      <c r="K81" s="30">
        <f>'03 Schedules'!K266</f>
        <v>-560.4</v>
      </c>
      <c r="L81" s="30">
        <f>'03 Schedules'!L266</f>
        <v>-592.4</v>
      </c>
      <c r="M81" s="2"/>
      <c r="N81" s="2" t="s">
        <v>247</v>
      </c>
    </row>
    <row r="82" spans="1:14" ht="20" customHeight="1">
      <c r="A82" s="2"/>
      <c r="B82" s="2"/>
      <c r="C82" s="2" t="s">
        <v>248</v>
      </c>
      <c r="D82" s="28">
        <v>-11.3</v>
      </c>
      <c r="E82" s="28">
        <v>-4.7</v>
      </c>
      <c r="F82" s="28">
        <v>19.100000000000001</v>
      </c>
      <c r="G82" s="28">
        <v>-16.100000000000001</v>
      </c>
      <c r="H82" s="30">
        <f>'03 Schedules'!H267</f>
        <v>-16.100000000000001</v>
      </c>
      <c r="I82" s="30">
        <f>'03 Schedules'!I267</f>
        <v>-16.100000000000001</v>
      </c>
      <c r="J82" s="30">
        <f>'03 Schedules'!J267</f>
        <v>-16.100000000000001</v>
      </c>
      <c r="K82" s="30">
        <f>'03 Schedules'!K267</f>
        <v>-16.100000000000001</v>
      </c>
      <c r="L82" s="30">
        <f>'03 Schedules'!L267</f>
        <v>-16.100000000000001</v>
      </c>
      <c r="M82" s="2"/>
      <c r="N82" s="2" t="s">
        <v>249</v>
      </c>
    </row>
    <row r="83" spans="1:14" ht="20" customHeight="1">
      <c r="A83" s="2"/>
      <c r="B83" s="2"/>
      <c r="C83" s="2" t="s">
        <v>250</v>
      </c>
      <c r="D83" s="28">
        <v>0.4</v>
      </c>
      <c r="E83" s="28">
        <v>-0.3</v>
      </c>
      <c r="F83" s="28">
        <v>-0.2</v>
      </c>
      <c r="G83" s="28">
        <v>-1</v>
      </c>
      <c r="H83" s="30">
        <f>'03 Schedules'!H268</f>
        <v>-1</v>
      </c>
      <c r="I83" s="30">
        <f>'03 Schedules'!I268</f>
        <v>-1</v>
      </c>
      <c r="J83" s="30">
        <f>'03 Schedules'!J268</f>
        <v>-1</v>
      </c>
      <c r="K83" s="30">
        <f>'03 Schedules'!K268</f>
        <v>-1</v>
      </c>
      <c r="L83" s="30">
        <f>'03 Schedules'!L268</f>
        <v>-1</v>
      </c>
      <c r="M83" s="2"/>
      <c r="N83" s="2" t="s">
        <v>251</v>
      </c>
    </row>
    <row r="84" spans="1:14" ht="20" customHeight="1">
      <c r="A84" s="2"/>
      <c r="B84" s="2"/>
      <c r="C84" s="2" t="s">
        <v>252</v>
      </c>
      <c r="D84" s="28">
        <v>-3.7</v>
      </c>
      <c r="E84" s="28">
        <v>-7.5</v>
      </c>
      <c r="F84" s="28">
        <v>-9.6999999999999993</v>
      </c>
      <c r="G84" s="28">
        <v>-7.3</v>
      </c>
      <c r="H84" s="30">
        <f>'03 Schedules'!H269</f>
        <v>-7.3</v>
      </c>
      <c r="I84" s="30">
        <f>'03 Schedules'!I269</f>
        <v>-7.3</v>
      </c>
      <c r="J84" s="30">
        <f>'03 Schedules'!J269</f>
        <v>-7.3</v>
      </c>
      <c r="K84" s="30">
        <f>'03 Schedules'!K269</f>
        <v>-7.3</v>
      </c>
      <c r="L84" s="30">
        <f>'03 Schedules'!L269</f>
        <v>-7.3</v>
      </c>
      <c r="M84" s="2"/>
      <c r="N84" s="2" t="s">
        <v>253</v>
      </c>
    </row>
    <row r="85" spans="1:14" ht="20" customHeight="1">
      <c r="A85" s="2"/>
      <c r="B85" s="2"/>
      <c r="C85" s="2" t="s">
        <v>254</v>
      </c>
      <c r="D85" s="28">
        <v>-1443.8</v>
      </c>
      <c r="E85" s="28">
        <v>-1443.8</v>
      </c>
      <c r="F85" s="28">
        <v>-1448.9</v>
      </c>
      <c r="G85" s="28">
        <v>-1889.7</v>
      </c>
      <c r="H85" s="30">
        <f>'03 Schedules'!H270</f>
        <v>-1889.7</v>
      </c>
      <c r="I85" s="30">
        <f>'03 Schedules'!I270</f>
        <v>-1889.7</v>
      </c>
      <c r="J85" s="30">
        <f>'03 Schedules'!J270</f>
        <v>-1889.7</v>
      </c>
      <c r="K85" s="30">
        <f>'03 Schedules'!K270</f>
        <v>-1889.7</v>
      </c>
      <c r="L85" s="30">
        <f>'03 Schedules'!L270</f>
        <v>-1889.7</v>
      </c>
      <c r="M85" s="2"/>
      <c r="N85" s="2" t="s">
        <v>255</v>
      </c>
    </row>
    <row r="86" spans="1:14" ht="20" customHeight="1">
      <c r="A86" s="2"/>
      <c r="B86" s="2"/>
      <c r="C86" s="2" t="s">
        <v>256</v>
      </c>
      <c r="D86" s="28">
        <v>2984.8</v>
      </c>
      <c r="E86" s="28">
        <v>3271.3</v>
      </c>
      <c r="F86" s="28">
        <v>3419.5</v>
      </c>
      <c r="G86" s="28">
        <v>3494</v>
      </c>
      <c r="H86" s="30">
        <f>'03 Schedules'!H253</f>
        <v>3601.6513493487491</v>
      </c>
      <c r="I86" s="30">
        <f>'03 Schedules'!I253</f>
        <v>3821.3410297127862</v>
      </c>
      <c r="J86" s="30">
        <f>'03 Schedules'!J253</f>
        <v>3865.8894757674047</v>
      </c>
      <c r="K86" s="30">
        <f>'03 Schedules'!K253</f>
        <v>4119.2733666090726</v>
      </c>
      <c r="L86" s="30">
        <f>'03 Schedules'!L253</f>
        <v>4212.5895178688997</v>
      </c>
      <c r="M86" s="2"/>
      <c r="N86" s="2" t="s">
        <v>257</v>
      </c>
    </row>
    <row r="87" spans="1:14" ht="20" customHeight="1">
      <c r="A87" s="2"/>
      <c r="B87" s="2"/>
      <c r="C87" s="13" t="s">
        <v>258</v>
      </c>
      <c r="D87" s="14">
        <f>SUM(D78:D86)</f>
        <v>1160.5000000000002</v>
      </c>
      <c r="E87" s="14">
        <f>SUM(E78:E86)</f>
        <v>1511.9</v>
      </c>
      <c r="F87" s="14">
        <f>SUM(F78:F86)</f>
        <v>1636.3</v>
      </c>
      <c r="G87" s="14">
        <f>SUM(G78:G86)</f>
        <v>1662.5</v>
      </c>
      <c r="H87" s="31">
        <f>SUM(H78,'03 Schedules'!H265,H80,'03 Schedules'!H266,'03 Schedules'!H267,'03 Schedules'!H268,'03 Schedules'!H269,'03 Schedules'!H270,H86)</f>
        <v>1742.1513493487491</v>
      </c>
      <c r="I87" s="31">
        <f>SUM(I78,'03 Schedules'!I265,I80,'03 Schedules'!I266,'03 Schedules'!I267,'03 Schedules'!I268,'03 Schedules'!I269,'03 Schedules'!I270,I86)</f>
        <v>1932.8410297127862</v>
      </c>
      <c r="J87" s="31">
        <f>SUM(J78,'03 Schedules'!J265,J80,'03 Schedules'!J266,'03 Schedules'!J267,'03 Schedules'!J268,'03 Schedules'!J269,'03 Schedules'!J270,J86)</f>
        <v>1947.3894757674047</v>
      </c>
      <c r="K87" s="31">
        <f>SUM(K78,'03 Schedules'!K265,K80,'03 Schedules'!K266,'03 Schedules'!K267,'03 Schedules'!K268,'03 Schedules'!K269,'03 Schedules'!K270,K86)</f>
        <v>2169.7733666090726</v>
      </c>
      <c r="L87" s="31">
        <f>SUM(L78,'03 Schedules'!L265,L80,'03 Schedules'!L266,'03 Schedules'!L267,'03 Schedules'!L268,'03 Schedules'!L269,'03 Schedules'!L270,L86)</f>
        <v>2231.0895178688997</v>
      </c>
      <c r="M87" s="2"/>
      <c r="N87" s="2" t="s">
        <v>259</v>
      </c>
    </row>
    <row r="88" spans="1:14" ht="20" customHeight="1">
      <c r="A88" s="2"/>
      <c r="B88" s="2"/>
      <c r="C88" s="2" t="s">
        <v>260</v>
      </c>
      <c r="D88" s="28">
        <v>4.5999999999999996</v>
      </c>
      <c r="E88" s="28">
        <v>126.9</v>
      </c>
      <c r="F88" s="28">
        <v>118</v>
      </c>
      <c r="G88" s="28">
        <v>118</v>
      </c>
      <c r="H88" s="30">
        <f>'03 Schedules'!H271</f>
        <v>119.79541440125001</v>
      </c>
      <c r="I88" s="30">
        <f>'03 Schedules'!I271</f>
        <v>123.1206804413595</v>
      </c>
      <c r="J88" s="30">
        <f>'03 Schedules'!J271</f>
        <v>126.65263782830503</v>
      </c>
      <c r="K88" s="30">
        <f>'03 Schedules'!K271</f>
        <v>130.37588892320119</v>
      </c>
      <c r="L88" s="30">
        <f>'03 Schedules'!L271</f>
        <v>134.29106220851244</v>
      </c>
      <c r="M88" s="2"/>
      <c r="N88" s="2" t="s">
        <v>261</v>
      </c>
    </row>
    <row r="89" spans="1:14" ht="20" customHeight="1">
      <c r="A89" s="2"/>
      <c r="B89" s="2"/>
      <c r="C89" s="13" t="s">
        <v>262</v>
      </c>
      <c r="D89" s="14">
        <f>SUM(D87,D88)</f>
        <v>1165.1000000000001</v>
      </c>
      <c r="E89" s="14">
        <f>SUM(E87,E88)</f>
        <v>1638.8000000000002</v>
      </c>
      <c r="F89" s="14">
        <f>SUM(F87,F88)</f>
        <v>1754.3</v>
      </c>
      <c r="G89" s="14">
        <f>SUM(G87,G88)</f>
        <v>1780.5</v>
      </c>
      <c r="H89" s="31">
        <f>H87+'03 Schedules'!H271</f>
        <v>1861.9467637499993</v>
      </c>
      <c r="I89" s="31">
        <f>I87+'03 Schedules'!I271</f>
        <v>2055.9617101541457</v>
      </c>
      <c r="J89" s="31">
        <f>J87+'03 Schedules'!J271</f>
        <v>2074.0421135957099</v>
      </c>
      <c r="K89" s="31">
        <f>K87+'03 Schedules'!K271</f>
        <v>2300.1492555322739</v>
      </c>
      <c r="L89" s="31">
        <f>L87+'03 Schedules'!L271</f>
        <v>2365.3805800774121</v>
      </c>
      <c r="M89" s="2"/>
      <c r="N89" s="2" t="s">
        <v>263</v>
      </c>
    </row>
    <row r="90" spans="1:14" ht="20" customHeight="1">
      <c r="A90" s="2"/>
      <c r="B90" s="2"/>
      <c r="C90" s="2"/>
      <c r="D90" s="3"/>
      <c r="E90" s="3"/>
      <c r="F90" s="3"/>
      <c r="G90" s="3"/>
      <c r="H90" s="24"/>
      <c r="I90" s="24"/>
      <c r="J90" s="24"/>
      <c r="K90" s="24"/>
      <c r="L90" s="24"/>
      <c r="M90" s="2"/>
      <c r="N90" s="2"/>
    </row>
    <row r="91" spans="1:14" ht="20" customHeight="1">
      <c r="A91" s="2"/>
      <c r="B91" s="2"/>
      <c r="C91" s="2" t="s">
        <v>264</v>
      </c>
      <c r="D91" s="49">
        <f>ROUND(D53+D73-D89,1)</f>
        <v>0</v>
      </c>
      <c r="E91" s="49">
        <f>ROUND(E53+E73-E89,1)</f>
        <v>0</v>
      </c>
      <c r="F91" s="49">
        <f>ROUND(F53+F73-F89,1)</f>
        <v>0</v>
      </c>
      <c r="G91" s="49">
        <f>ROUND(G53+G73-G89,1)</f>
        <v>0</v>
      </c>
      <c r="H91" s="50">
        <f>H53+H73-H89</f>
        <v>0</v>
      </c>
      <c r="I91" s="50">
        <f>I53+I73-I89</f>
        <v>0</v>
      </c>
      <c r="J91" s="50">
        <f>J53+J73-J89</f>
        <v>0</v>
      </c>
      <c r="K91" s="50">
        <f>K53+K73-K89</f>
        <v>0</v>
      </c>
      <c r="L91" s="50">
        <f>L53+L73-L89</f>
        <v>0</v>
      </c>
      <c r="M91" s="2"/>
      <c r="N91" s="2"/>
    </row>
    <row r="92" spans="1:14" ht="20" customHeight="1">
      <c r="A92" s="2"/>
      <c r="B92" s="2"/>
      <c r="C92" s="2"/>
      <c r="D92" s="3"/>
      <c r="E92" s="3"/>
      <c r="F92" s="3"/>
      <c r="G92" s="3"/>
      <c r="H92" s="24"/>
      <c r="I92" s="24"/>
      <c r="J92" s="24"/>
      <c r="K92" s="24"/>
      <c r="L92" s="24"/>
      <c r="M92" s="2"/>
      <c r="N92" s="2"/>
    </row>
    <row r="93" spans="1:14" ht="20" customHeight="1">
      <c r="A93" s="2"/>
      <c r="B93" s="2"/>
      <c r="C93" s="2"/>
      <c r="D93" s="3"/>
      <c r="E93" s="3"/>
      <c r="F93" s="3"/>
      <c r="G93" s="3"/>
      <c r="H93" s="24"/>
      <c r="I93" s="24"/>
      <c r="J93" s="24"/>
      <c r="K93" s="24"/>
      <c r="L93" s="24"/>
      <c r="M93" s="2"/>
      <c r="N93" s="2"/>
    </row>
    <row r="94" spans="1:14" ht="25" customHeight="1">
      <c r="A94" s="2"/>
      <c r="B94" s="2"/>
      <c r="C94" s="55" t="s">
        <v>265</v>
      </c>
      <c r="D94" s="56"/>
      <c r="E94" s="56"/>
      <c r="F94" s="56"/>
      <c r="G94" s="56"/>
      <c r="H94" s="56"/>
      <c r="I94" s="56"/>
      <c r="J94" s="56"/>
      <c r="K94" s="56"/>
      <c r="L94" s="56"/>
      <c r="M94" s="2"/>
      <c r="N94" s="10" t="s">
        <v>266</v>
      </c>
    </row>
    <row r="95" spans="1:14" ht="20" customHeight="1">
      <c r="A95" s="2"/>
      <c r="B95" s="2"/>
      <c r="C95" s="2" t="s">
        <v>267</v>
      </c>
      <c r="D95" s="3" t="s">
        <v>24</v>
      </c>
      <c r="E95" s="3" t="s">
        <v>25</v>
      </c>
      <c r="F95" s="3" t="s">
        <v>26</v>
      </c>
      <c r="G95" s="3" t="s">
        <v>27</v>
      </c>
      <c r="H95" s="24" t="s">
        <v>28</v>
      </c>
      <c r="I95" s="24" t="s">
        <v>29</v>
      </c>
      <c r="J95" s="24" t="s">
        <v>30</v>
      </c>
      <c r="K95" s="24" t="s">
        <v>31</v>
      </c>
      <c r="L95" s="24" t="s">
        <v>32</v>
      </c>
      <c r="M95" s="2"/>
      <c r="N95" s="2"/>
    </row>
    <row r="96" spans="1:14" ht="20" customHeight="1">
      <c r="A96" s="2"/>
      <c r="B96" s="2"/>
      <c r="C96" s="2" t="s">
        <v>268</v>
      </c>
      <c r="D96" s="3"/>
      <c r="E96" s="3"/>
      <c r="F96" s="3"/>
      <c r="G96" s="3"/>
      <c r="H96" s="24"/>
      <c r="I96" s="24"/>
      <c r="J96" s="24"/>
      <c r="K96" s="24"/>
      <c r="L96" s="24"/>
      <c r="M96" s="2"/>
      <c r="N96" s="2"/>
    </row>
    <row r="97" spans="1:14" ht="20" customHeight="1">
      <c r="A97" s="2"/>
      <c r="B97" s="2"/>
      <c r="C97" s="2" t="s">
        <v>269</v>
      </c>
      <c r="D97" s="28">
        <v>950.3</v>
      </c>
      <c r="E97" s="28">
        <v>1313.6</v>
      </c>
      <c r="F97" s="28">
        <v>1376.5</v>
      </c>
      <c r="G97" s="28">
        <v>1466.7</v>
      </c>
      <c r="H97" s="30">
        <f>'03 Schedules'!H360</f>
        <v>1804.5370213643828</v>
      </c>
      <c r="I97" s="30">
        <f>'03 Schedules'!I360</f>
        <v>1697.4537332858129</v>
      </c>
      <c r="J97" s="30">
        <f>'03 Schedules'!J360</f>
        <v>1952.503961233386</v>
      </c>
      <c r="K97" s="30">
        <f>'03 Schedules'!K360</f>
        <v>1891.5367347891329</v>
      </c>
      <c r="L97" s="30">
        <f>'03 Schedules'!L360</f>
        <v>2147.9568715402138</v>
      </c>
      <c r="M97" s="2"/>
      <c r="N97" s="2" t="s">
        <v>270</v>
      </c>
    </row>
    <row r="98" spans="1:14" ht="20" customHeight="1">
      <c r="A98" s="2"/>
      <c r="B98" s="2"/>
      <c r="C98" s="2" t="s">
        <v>271</v>
      </c>
      <c r="D98" s="28">
        <v>-151.5</v>
      </c>
      <c r="E98" s="28">
        <v>-193.3</v>
      </c>
      <c r="F98" s="28">
        <v>-242.6</v>
      </c>
      <c r="G98" s="28">
        <v>-233.1</v>
      </c>
      <c r="H98" s="30">
        <f>-'03 Schedules'!H337</f>
        <v>-265</v>
      </c>
      <c r="I98" s="30">
        <f>-'03 Schedules'!I337</f>
        <v>-319.88545859691891</v>
      </c>
      <c r="J98" s="30">
        <f>-'03 Schedules'!J337</f>
        <v>-339.76337241873739</v>
      </c>
      <c r="K98" s="30">
        <f>-'03 Schedules'!K337</f>
        <v>-358.08596918142433</v>
      </c>
      <c r="L98" s="30">
        <f>-'03 Schedules'!L337</f>
        <v>-376.47204902133785</v>
      </c>
      <c r="M98" s="2"/>
      <c r="N98" s="2" t="s">
        <v>272</v>
      </c>
    </row>
    <row r="99" spans="1:14" ht="20" customHeight="1">
      <c r="A99" s="2"/>
      <c r="B99" s="2"/>
      <c r="C99" s="13" t="s">
        <v>273</v>
      </c>
      <c r="D99" s="32">
        <v>798.8</v>
      </c>
      <c r="E99" s="32">
        <v>1120.3</v>
      </c>
      <c r="F99" s="32">
        <v>1133.9000000000001</v>
      </c>
      <c r="G99" s="32">
        <v>1233.5999999999999</v>
      </c>
      <c r="H99" s="26">
        <f>SUM(H97:H98)</f>
        <v>1539.5370213643828</v>
      </c>
      <c r="I99" s="26">
        <f>SUM(I97:I98)</f>
        <v>1377.568274688894</v>
      </c>
      <c r="J99" s="26">
        <f>SUM(J97:J98)</f>
        <v>1612.7405888146486</v>
      </c>
      <c r="K99" s="26">
        <f>SUM(K97:K98)</f>
        <v>1533.4507656077085</v>
      </c>
      <c r="L99" s="26">
        <f>SUM(L97:L98)</f>
        <v>1771.4848225188759</v>
      </c>
      <c r="M99" s="2"/>
      <c r="N99" s="2" t="s">
        <v>274</v>
      </c>
    </row>
    <row r="100" spans="1:14" ht="20" customHeight="1">
      <c r="A100" s="2"/>
      <c r="B100" s="2"/>
      <c r="C100" s="2"/>
      <c r="D100" s="3"/>
      <c r="E100" s="3"/>
      <c r="F100" s="3"/>
      <c r="G100" s="3"/>
      <c r="H100" s="24"/>
      <c r="I100" s="24"/>
      <c r="J100" s="24"/>
      <c r="K100" s="24"/>
      <c r="L100" s="24"/>
      <c r="M100" s="2"/>
      <c r="N100" s="2"/>
    </row>
    <row r="101" spans="1:14" ht="20" customHeight="1">
      <c r="A101" s="2"/>
      <c r="B101" s="2"/>
      <c r="C101" s="2" t="s">
        <v>275</v>
      </c>
      <c r="D101" s="3"/>
      <c r="E101" s="3"/>
      <c r="F101" s="3"/>
      <c r="G101" s="3"/>
      <c r="H101" s="24"/>
      <c r="I101" s="24"/>
      <c r="J101" s="24"/>
      <c r="K101" s="24"/>
      <c r="L101" s="24"/>
      <c r="M101" s="2"/>
      <c r="N101" s="2"/>
    </row>
    <row r="102" spans="1:14" ht="20" customHeight="1">
      <c r="A102" s="2"/>
      <c r="B102" s="2"/>
      <c r="C102" s="2" t="s">
        <v>276</v>
      </c>
      <c r="D102" s="28">
        <v>-205.1</v>
      </c>
      <c r="E102" s="28">
        <v>-137</v>
      </c>
      <c r="F102" s="28">
        <v>-129.30000000000001</v>
      </c>
      <c r="G102" s="28">
        <v>-135.4</v>
      </c>
      <c r="H102" s="30">
        <f>-'03 Schedules'!H20</f>
        <v>-208</v>
      </c>
      <c r="I102" s="30">
        <f>-'03 Schedules'!I20</f>
        <v>-220</v>
      </c>
      <c r="J102" s="30">
        <f>-'03 Schedules'!J20</f>
        <v>-195</v>
      </c>
      <c r="K102" s="30">
        <f>-'03 Schedules'!K20</f>
        <v>-257</v>
      </c>
      <c r="L102" s="30">
        <f>-'03 Schedules'!L20</f>
        <v>-268</v>
      </c>
      <c r="M102" s="2"/>
      <c r="N102" s="2" t="s">
        <v>277</v>
      </c>
    </row>
    <row r="103" spans="1:14" ht="20" customHeight="1">
      <c r="A103" s="2"/>
      <c r="B103" s="2"/>
      <c r="C103" s="2" t="s">
        <v>278</v>
      </c>
      <c r="D103" s="28">
        <v>0</v>
      </c>
      <c r="E103" s="28">
        <v>2</v>
      </c>
      <c r="F103" s="28">
        <v>2.6</v>
      </c>
      <c r="G103" s="28">
        <v>0.4</v>
      </c>
      <c r="H103" s="30">
        <f>'03 Schedules'!H15</f>
        <v>0</v>
      </c>
      <c r="I103" s="30">
        <f>'03 Schedules'!I15</f>
        <v>0</v>
      </c>
      <c r="J103" s="30">
        <f>'03 Schedules'!J15</f>
        <v>0</v>
      </c>
      <c r="K103" s="30">
        <f>'03 Schedules'!K15</f>
        <v>0</v>
      </c>
      <c r="L103" s="30">
        <f>'03 Schedules'!L15</f>
        <v>0</v>
      </c>
      <c r="M103" s="2"/>
      <c r="N103" s="2" t="s">
        <v>279</v>
      </c>
    </row>
    <row r="104" spans="1:14" ht="20" customHeight="1">
      <c r="A104" s="2"/>
      <c r="B104" s="2"/>
      <c r="C104" s="2" t="s">
        <v>280</v>
      </c>
      <c r="D104" s="28">
        <v>0</v>
      </c>
      <c r="E104" s="28">
        <v>0</v>
      </c>
      <c r="F104" s="28">
        <v>0</v>
      </c>
      <c r="G104" s="28">
        <v>55.7</v>
      </c>
      <c r="H104" s="30">
        <f>'03 Schedules'!H16</f>
        <v>0</v>
      </c>
      <c r="I104" s="30">
        <f>'03 Schedules'!I16</f>
        <v>0</v>
      </c>
      <c r="J104" s="30">
        <f>'03 Schedules'!J16</f>
        <v>0</v>
      </c>
      <c r="K104" s="30">
        <f>'03 Schedules'!K16</f>
        <v>0</v>
      </c>
      <c r="L104" s="30">
        <f>'03 Schedules'!L16</f>
        <v>0</v>
      </c>
      <c r="M104" s="2"/>
      <c r="N104" s="2" t="s">
        <v>281</v>
      </c>
    </row>
    <row r="105" spans="1:14" ht="20" customHeight="1">
      <c r="A105" s="2"/>
      <c r="B105" s="2"/>
      <c r="C105" s="2" t="s">
        <v>282</v>
      </c>
      <c r="D105" s="28">
        <v>41.7</v>
      </c>
      <c r="E105" s="28">
        <v>3.3</v>
      </c>
      <c r="F105" s="28">
        <v>0</v>
      </c>
      <c r="G105" s="28">
        <v>0</v>
      </c>
      <c r="H105" s="30">
        <f>'03 Schedules'!H17</f>
        <v>0</v>
      </c>
      <c r="I105" s="30">
        <f>'03 Schedules'!I17</f>
        <v>0</v>
      </c>
      <c r="J105" s="30">
        <f>'03 Schedules'!J17</f>
        <v>0</v>
      </c>
      <c r="K105" s="30">
        <f>'03 Schedules'!K17</f>
        <v>0</v>
      </c>
      <c r="L105" s="30">
        <f>'03 Schedules'!L17</f>
        <v>0</v>
      </c>
      <c r="M105" s="2"/>
      <c r="N105" s="2" t="s">
        <v>283</v>
      </c>
    </row>
    <row r="106" spans="1:14" ht="20" customHeight="1">
      <c r="A106" s="2"/>
      <c r="B106" s="2"/>
      <c r="C106" s="2" t="s">
        <v>284</v>
      </c>
      <c r="D106" s="28">
        <v>-41</v>
      </c>
      <c r="E106" s="28">
        <v>-51.2</v>
      </c>
      <c r="F106" s="28">
        <v>-28.2</v>
      </c>
      <c r="G106" s="28">
        <v>-35.799999999999997</v>
      </c>
      <c r="H106" s="30">
        <f>-'03 Schedules'!H41</f>
        <v>-29</v>
      </c>
      <c r="I106" s="30">
        <f>-'03 Schedules'!I41</f>
        <v>-32</v>
      </c>
      <c r="J106" s="30">
        <f>-'03 Schedules'!J41</f>
        <v>-32</v>
      </c>
      <c r="K106" s="30">
        <f>-'03 Schedules'!K41</f>
        <v>-32</v>
      </c>
      <c r="L106" s="30">
        <f>-'03 Schedules'!L41</f>
        <v>-32</v>
      </c>
      <c r="M106" s="2"/>
      <c r="N106" s="2" t="s">
        <v>285</v>
      </c>
    </row>
    <row r="107" spans="1:14" ht="20" customHeight="1">
      <c r="A107" s="2"/>
      <c r="B107" s="2"/>
      <c r="C107" s="2" t="s">
        <v>286</v>
      </c>
      <c r="D107" s="28">
        <v>11.3</v>
      </c>
      <c r="E107" s="28">
        <v>0</v>
      </c>
      <c r="F107" s="28">
        <v>-0.9</v>
      </c>
      <c r="G107" s="28">
        <v>-4.8</v>
      </c>
      <c r="H107" s="30">
        <f>'03 Schedules'!H34</f>
        <v>0</v>
      </c>
      <c r="I107" s="30">
        <f>'03 Schedules'!I34</f>
        <v>0</v>
      </c>
      <c r="J107" s="30">
        <f>'03 Schedules'!J34</f>
        <v>0</v>
      </c>
      <c r="K107" s="30">
        <f>'03 Schedules'!K34</f>
        <v>0</v>
      </c>
      <c r="L107" s="30">
        <f>'03 Schedules'!L34</f>
        <v>0</v>
      </c>
      <c r="M107" s="2"/>
      <c r="N107" s="2" t="s">
        <v>287</v>
      </c>
    </row>
    <row r="108" spans="1:14" ht="20" customHeight="1">
      <c r="A108" s="2"/>
      <c r="B108" s="2"/>
      <c r="C108" s="2" t="s">
        <v>288</v>
      </c>
      <c r="D108" s="28">
        <v>-28.8</v>
      </c>
      <c r="E108" s="28">
        <v>-153.19999999999999</v>
      </c>
      <c r="F108" s="28">
        <v>-24.2</v>
      </c>
      <c r="G108" s="28">
        <v>0</v>
      </c>
      <c r="H108" s="30">
        <f>-'03 Schedules'!H35</f>
        <v>0</v>
      </c>
      <c r="I108" s="30">
        <f>-'03 Schedules'!I35</f>
        <v>0</v>
      </c>
      <c r="J108" s="30">
        <f>-'03 Schedules'!J35</f>
        <v>0</v>
      </c>
      <c r="K108" s="30">
        <f>-'03 Schedules'!K35</f>
        <v>0</v>
      </c>
      <c r="L108" s="30">
        <f>-'03 Schedules'!L35</f>
        <v>0</v>
      </c>
      <c r="M108" s="2"/>
      <c r="N108" s="2" t="s">
        <v>289</v>
      </c>
    </row>
    <row r="109" spans="1:14" ht="20" customHeight="1">
      <c r="A109" s="2"/>
      <c r="B109" s="2"/>
      <c r="C109" s="2" t="s">
        <v>290</v>
      </c>
      <c r="D109" s="28">
        <v>-64.7</v>
      </c>
      <c r="E109" s="28">
        <v>-0.9</v>
      </c>
      <c r="F109" s="28">
        <v>-1.2</v>
      </c>
      <c r="G109" s="28">
        <v>0</v>
      </c>
      <c r="H109" s="30">
        <f>-'03 Schedules'!H36</f>
        <v>0</v>
      </c>
      <c r="I109" s="30">
        <f>-'03 Schedules'!I36</f>
        <v>0</v>
      </c>
      <c r="J109" s="30">
        <f>-'03 Schedules'!J36</f>
        <v>0</v>
      </c>
      <c r="K109" s="30">
        <f>-'03 Schedules'!K36</f>
        <v>0</v>
      </c>
      <c r="L109" s="30">
        <f>-'03 Schedules'!L36</f>
        <v>0</v>
      </c>
      <c r="M109" s="2"/>
      <c r="N109" s="2" t="s">
        <v>291</v>
      </c>
    </row>
    <row r="110" spans="1:14" ht="20" customHeight="1">
      <c r="A110" s="2"/>
      <c r="B110" s="2"/>
      <c r="C110" s="2" t="s">
        <v>292</v>
      </c>
      <c r="D110" s="28">
        <v>15.2</v>
      </c>
      <c r="E110" s="28">
        <v>2.6</v>
      </c>
      <c r="F110" s="28">
        <v>0</v>
      </c>
      <c r="G110" s="28">
        <v>0</v>
      </c>
      <c r="H110" s="30">
        <f>'03 Schedules'!H37</f>
        <v>0</v>
      </c>
      <c r="I110" s="30">
        <f>'03 Schedules'!I37</f>
        <v>0</v>
      </c>
      <c r="J110" s="30">
        <f>'03 Schedules'!J37</f>
        <v>0</v>
      </c>
      <c r="K110" s="30">
        <f>'03 Schedules'!K37</f>
        <v>0</v>
      </c>
      <c r="L110" s="30">
        <f>'03 Schedules'!L37</f>
        <v>0</v>
      </c>
      <c r="M110" s="2"/>
      <c r="N110" s="2" t="s">
        <v>293</v>
      </c>
    </row>
    <row r="111" spans="1:14" ht="20" customHeight="1">
      <c r="A111" s="2"/>
      <c r="B111" s="2"/>
      <c r="C111" s="13" t="s">
        <v>294</v>
      </c>
      <c r="D111" s="32">
        <v>-271.39999999999998</v>
      </c>
      <c r="E111" s="32">
        <v>-334.4</v>
      </c>
      <c r="F111" s="32">
        <v>-181.2</v>
      </c>
      <c r="G111" s="32">
        <v>-119.9</v>
      </c>
      <c r="H111" s="26">
        <f>SUM(H102:H110)</f>
        <v>-237</v>
      </c>
      <c r="I111" s="26">
        <f>SUM(I102:I110)</f>
        <v>-252</v>
      </c>
      <c r="J111" s="26">
        <f>SUM(J102:J110)</f>
        <v>-227</v>
      </c>
      <c r="K111" s="26">
        <f>SUM(K102:K110)</f>
        <v>-289</v>
      </c>
      <c r="L111" s="26">
        <f>SUM(L102:L110)</f>
        <v>-300</v>
      </c>
      <c r="M111" s="2"/>
      <c r="N111" s="2" t="s">
        <v>295</v>
      </c>
    </row>
    <row r="112" spans="1:14" ht="20" customHeight="1">
      <c r="A112" s="2"/>
      <c r="B112" s="2"/>
      <c r="C112" s="2"/>
      <c r="D112" s="3"/>
      <c r="E112" s="3"/>
      <c r="F112" s="3"/>
      <c r="G112" s="3"/>
      <c r="H112" s="24"/>
      <c r="I112" s="24"/>
      <c r="J112" s="24"/>
      <c r="K112" s="24"/>
      <c r="L112" s="24"/>
      <c r="M112" s="2"/>
      <c r="N112" s="2"/>
    </row>
    <row r="113" spans="1:14" ht="20" customHeight="1">
      <c r="A113" s="2"/>
      <c r="B113" s="2"/>
      <c r="C113" s="2" t="s">
        <v>296</v>
      </c>
      <c r="D113" s="3"/>
      <c r="E113" s="3"/>
      <c r="F113" s="3"/>
      <c r="G113" s="3"/>
      <c r="H113" s="24"/>
      <c r="I113" s="24"/>
      <c r="J113" s="24"/>
      <c r="K113" s="24"/>
      <c r="L113" s="24"/>
      <c r="M113" s="2"/>
      <c r="N113" s="2"/>
    </row>
    <row r="114" spans="1:14" ht="20" customHeight="1">
      <c r="A114" s="2"/>
      <c r="B114" s="2"/>
      <c r="C114" s="2" t="s">
        <v>297</v>
      </c>
      <c r="D114" s="28">
        <v>-228.5</v>
      </c>
      <c r="E114" s="28">
        <v>-177.3</v>
      </c>
      <c r="F114" s="28">
        <v>-360.2</v>
      </c>
      <c r="G114" s="28">
        <v>-131.4</v>
      </c>
      <c r="H114" s="30">
        <f>-'03 Schedules'!H301</f>
        <v>-524</v>
      </c>
      <c r="I114" s="30">
        <f>-'03 Schedules'!I321</f>
        <v>-461.48247529302137</v>
      </c>
      <c r="J114" s="30">
        <f>-'03 Schedules'!J321</f>
        <v>-665.86847991177581</v>
      </c>
      <c r="K114" s="30">
        <f>-'03 Schedules'!K321</f>
        <v>-493.36317971961751</v>
      </c>
      <c r="L114" s="30">
        <f>-'03 Schedules'!L321</f>
        <v>-690.84941818648304</v>
      </c>
      <c r="M114" s="2"/>
      <c r="N114" s="2" t="s">
        <v>298</v>
      </c>
    </row>
    <row r="115" spans="1:14" ht="20" customHeight="1">
      <c r="A115" s="2"/>
      <c r="B115" s="2"/>
      <c r="C115" s="2" t="s">
        <v>299</v>
      </c>
      <c r="D115" s="28">
        <v>-124</v>
      </c>
      <c r="E115" s="28">
        <v>-116.3</v>
      </c>
      <c r="F115" s="28">
        <v>-126.8</v>
      </c>
      <c r="G115" s="28">
        <v>-169</v>
      </c>
      <c r="H115" s="30">
        <f>-'03 Schedules'!H209</f>
        <v>-158</v>
      </c>
      <c r="I115" s="30">
        <f>-'03 Schedules'!I209</f>
        <v>-165</v>
      </c>
      <c r="J115" s="30">
        <f>-'03 Schedules'!J209</f>
        <v>-172</v>
      </c>
      <c r="K115" s="30">
        <f>-'03 Schedules'!K209</f>
        <v>-180</v>
      </c>
      <c r="L115" s="30">
        <f>-'03 Schedules'!L209</f>
        <v>-188</v>
      </c>
      <c r="M115" s="2"/>
      <c r="N115" s="2" t="s">
        <v>300</v>
      </c>
    </row>
    <row r="116" spans="1:14" ht="20" customHeight="1">
      <c r="A116" s="2"/>
      <c r="B116" s="2"/>
      <c r="C116" s="2" t="s">
        <v>301</v>
      </c>
      <c r="D116" s="28">
        <v>34.299999999999997</v>
      </c>
      <c r="E116" s="28">
        <v>97.8</v>
      </c>
      <c r="F116" s="28">
        <v>77</v>
      </c>
      <c r="G116" s="28">
        <v>107.2</v>
      </c>
      <c r="H116" s="30">
        <f>'03 Schedules'!H208</f>
        <v>94</v>
      </c>
      <c r="I116" s="30">
        <f>'03 Schedules'!I208</f>
        <v>98</v>
      </c>
      <c r="J116" s="30">
        <f>'03 Schedules'!J208</f>
        <v>102</v>
      </c>
      <c r="K116" s="30">
        <f>'03 Schedules'!K208</f>
        <v>107</v>
      </c>
      <c r="L116" s="30">
        <f>'03 Schedules'!L208</f>
        <v>112</v>
      </c>
      <c r="M116" s="2"/>
      <c r="N116" s="2" t="s">
        <v>302</v>
      </c>
    </row>
    <row r="117" spans="1:14" ht="20" customHeight="1">
      <c r="A117" s="2"/>
      <c r="B117" s="2"/>
      <c r="C117" s="2" t="s">
        <v>303</v>
      </c>
      <c r="D117" s="28">
        <v>0</v>
      </c>
      <c r="E117" s="28">
        <v>0</v>
      </c>
      <c r="F117" s="28">
        <v>-5</v>
      </c>
      <c r="G117" s="28">
        <v>-1.5</v>
      </c>
      <c r="H117" s="30">
        <f>-'03 Schedules'!H304</f>
        <v>0</v>
      </c>
      <c r="I117" s="30">
        <f>-'03 Schedules'!I304</f>
        <v>0</v>
      </c>
      <c r="J117" s="30">
        <f>-'03 Schedules'!J304</f>
        <v>0</v>
      </c>
      <c r="K117" s="30">
        <f>-'03 Schedules'!K304</f>
        <v>0</v>
      </c>
      <c r="L117" s="30">
        <f>-'03 Schedules'!L304</f>
        <v>0</v>
      </c>
      <c r="M117" s="2"/>
      <c r="N117" s="2" t="s">
        <v>304</v>
      </c>
    </row>
    <row r="118" spans="1:14" ht="20" customHeight="1">
      <c r="A118" s="2"/>
      <c r="B118" s="2"/>
      <c r="C118" s="2" t="s">
        <v>305</v>
      </c>
      <c r="D118" s="28">
        <v>0</v>
      </c>
      <c r="E118" s="28">
        <v>0</v>
      </c>
      <c r="F118" s="28">
        <v>0.5</v>
      </c>
      <c r="G118" s="28">
        <v>0</v>
      </c>
      <c r="H118" s="30">
        <f>'03 Schedules'!H305</f>
        <v>0</v>
      </c>
      <c r="I118" s="30">
        <f>'03 Schedules'!I305</f>
        <v>0</v>
      </c>
      <c r="J118" s="30">
        <f>'03 Schedules'!J305</f>
        <v>0</v>
      </c>
      <c r="K118" s="30">
        <f>'03 Schedules'!K305</f>
        <v>0</v>
      </c>
      <c r="L118" s="30">
        <f>'03 Schedules'!L305</f>
        <v>0</v>
      </c>
      <c r="M118" s="2"/>
      <c r="N118" s="2" t="s">
        <v>306</v>
      </c>
    </row>
    <row r="119" spans="1:14" ht="20" customHeight="1">
      <c r="A119" s="2"/>
      <c r="B119" s="2"/>
      <c r="C119" s="2" t="s">
        <v>307</v>
      </c>
      <c r="D119" s="28">
        <v>0</v>
      </c>
      <c r="E119" s="28">
        <v>-2.5</v>
      </c>
      <c r="F119" s="28">
        <v>-2.4</v>
      </c>
      <c r="G119" s="28">
        <v>-31.5</v>
      </c>
      <c r="H119" s="30">
        <f>'03 Schedules'!H386</f>
        <v>0</v>
      </c>
      <c r="I119" s="24">
        <f>0</f>
        <v>0</v>
      </c>
      <c r="J119" s="24">
        <f>0</f>
        <v>0</v>
      </c>
      <c r="K119" s="24">
        <f>0</f>
        <v>0</v>
      </c>
      <c r="L119" s="24">
        <f>0</f>
        <v>0</v>
      </c>
      <c r="M119" s="2"/>
      <c r="N119" s="2" t="s">
        <v>308</v>
      </c>
    </row>
    <row r="120" spans="1:14" ht="20" customHeight="1">
      <c r="A120" s="2"/>
      <c r="B120" s="2"/>
      <c r="C120" s="2" t="s">
        <v>309</v>
      </c>
      <c r="D120" s="28">
        <v>0</v>
      </c>
      <c r="E120" s="28">
        <v>0</v>
      </c>
      <c r="F120" s="28">
        <v>0</v>
      </c>
      <c r="G120" s="28">
        <v>60</v>
      </c>
      <c r="H120" s="30">
        <f>'03 Schedules'!H387</f>
        <v>0</v>
      </c>
      <c r="I120" s="24">
        <f>0</f>
        <v>0</v>
      </c>
      <c r="J120" s="24">
        <f>0</f>
        <v>0</v>
      </c>
      <c r="K120" s="24">
        <f>0</f>
        <v>0</v>
      </c>
      <c r="L120" s="24">
        <f>0</f>
        <v>0</v>
      </c>
      <c r="M120" s="2"/>
      <c r="N120" s="2" t="s">
        <v>310</v>
      </c>
    </row>
    <row r="121" spans="1:14" ht="20" customHeight="1">
      <c r="A121" s="2"/>
      <c r="B121" s="2"/>
      <c r="C121" s="2" t="s">
        <v>311</v>
      </c>
      <c r="D121" s="28">
        <v>0.1</v>
      </c>
      <c r="E121" s="28">
        <v>0</v>
      </c>
      <c r="F121" s="28">
        <v>1</v>
      </c>
      <c r="G121" s="28">
        <v>0.7</v>
      </c>
      <c r="H121" s="30">
        <f>'03 Schedules'!H66</f>
        <v>0</v>
      </c>
      <c r="I121" s="30">
        <f>'03 Schedules'!I66</f>
        <v>0</v>
      </c>
      <c r="J121" s="30">
        <f>'03 Schedules'!J66</f>
        <v>0</v>
      </c>
      <c r="K121" s="30">
        <f>'03 Schedules'!K66</f>
        <v>0</v>
      </c>
      <c r="L121" s="30">
        <f>'03 Schedules'!L66</f>
        <v>0</v>
      </c>
      <c r="M121" s="2"/>
      <c r="N121" s="2" t="s">
        <v>312</v>
      </c>
    </row>
    <row r="122" spans="1:14" ht="20" customHeight="1">
      <c r="A122" s="2"/>
      <c r="B122" s="2"/>
      <c r="C122" s="2" t="s">
        <v>313</v>
      </c>
      <c r="D122" s="28">
        <v>-157.1</v>
      </c>
      <c r="E122" s="28">
        <v>-156.1</v>
      </c>
      <c r="F122" s="28">
        <v>-164.6</v>
      </c>
      <c r="G122" s="28">
        <v>-167.4</v>
      </c>
      <c r="H122" s="30">
        <f>'03 Schedules'!H82+'03 Schedules'!H80</f>
        <v>-170.011</v>
      </c>
      <c r="I122" s="30">
        <f>'03 Schedules'!I82+'03 Schedules'!I80</f>
        <v>-178.495183</v>
      </c>
      <c r="J122" s="30">
        <f>'03 Schedules'!J82+'03 Schedules'!J80</f>
        <v>-187.04501533299998</v>
      </c>
      <c r="K122" s="30">
        <f>'03 Schedules'!K82+'03 Schedules'!K80</f>
        <v>-194.73755991664999</v>
      </c>
      <c r="L122" s="30">
        <f>'03 Schedules'!L82+'03 Schedules'!L80</f>
        <v>-201.62443791248251</v>
      </c>
      <c r="M122" s="2"/>
      <c r="N122" s="2" t="s">
        <v>314</v>
      </c>
    </row>
    <row r="123" spans="1:14" ht="20" customHeight="1">
      <c r="A123" s="2"/>
      <c r="B123" s="2"/>
      <c r="C123" s="2" t="s">
        <v>315</v>
      </c>
      <c r="D123" s="28">
        <v>-74.099999999999994</v>
      </c>
      <c r="E123" s="28">
        <v>-79.2</v>
      </c>
      <c r="F123" s="28">
        <v>-93.3</v>
      </c>
      <c r="G123" s="28">
        <v>-94.1</v>
      </c>
      <c r="H123" s="30">
        <f>-('03 Schedules'!H171+'03 Schedules'!H172)</f>
        <v>-89.577866666666665</v>
      </c>
      <c r="I123" s="30">
        <f>-('03 Schedules'!I171+'03 Schedules'!I172)</f>
        <v>-82.179817000000014</v>
      </c>
      <c r="J123" s="30">
        <f>-('03 Schedules'!J171+'03 Schedules'!J172)</f>
        <v>-80.485859667</v>
      </c>
      <c r="K123" s="30">
        <f>-('03 Schedules'!K171+'03 Schedules'!K172)</f>
        <v>-78.562440083350012</v>
      </c>
      <c r="L123" s="30">
        <f>-('03 Schedules'!L171+'03 Schedules'!L172)</f>
        <v>-76.675562087517505</v>
      </c>
      <c r="M123" s="2"/>
      <c r="N123" s="2" t="s">
        <v>316</v>
      </c>
    </row>
    <row r="124" spans="1:14" ht="20" customHeight="1">
      <c r="A124" s="2"/>
      <c r="B124" s="2"/>
      <c r="C124" s="2" t="s">
        <v>317</v>
      </c>
      <c r="D124" s="28">
        <v>0.3</v>
      </c>
      <c r="E124" s="28">
        <v>0</v>
      </c>
      <c r="F124" s="28">
        <v>0</v>
      </c>
      <c r="G124" s="28">
        <v>0</v>
      </c>
      <c r="H124" s="24">
        <f>0</f>
        <v>0</v>
      </c>
      <c r="I124" s="24">
        <f>0</f>
        <v>0</v>
      </c>
      <c r="J124" s="24">
        <f>0</f>
        <v>0</v>
      </c>
      <c r="K124" s="24">
        <f>0</f>
        <v>0</v>
      </c>
      <c r="L124" s="24">
        <f>0</f>
        <v>0</v>
      </c>
      <c r="M124" s="2"/>
      <c r="N124" s="2" t="s">
        <v>318</v>
      </c>
    </row>
    <row r="125" spans="1:14" ht="20" customHeight="1">
      <c r="A125" s="2"/>
      <c r="B125" s="2"/>
      <c r="C125" s="2" t="s">
        <v>282</v>
      </c>
      <c r="D125" s="28">
        <v>59.3</v>
      </c>
      <c r="E125" s="28">
        <v>18.600000000000001</v>
      </c>
      <c r="F125" s="28">
        <v>0</v>
      </c>
      <c r="G125" s="28">
        <v>0</v>
      </c>
      <c r="H125" s="30">
        <f>'03 Schedules'!H388</f>
        <v>0</v>
      </c>
      <c r="I125" s="24">
        <f>0</f>
        <v>0</v>
      </c>
      <c r="J125" s="24">
        <f>0</f>
        <v>0</v>
      </c>
      <c r="K125" s="24">
        <f>0</f>
        <v>0</v>
      </c>
      <c r="L125" s="24">
        <f>0</f>
        <v>0</v>
      </c>
      <c r="M125" s="2"/>
      <c r="N125" s="2" t="s">
        <v>319</v>
      </c>
    </row>
    <row r="126" spans="1:14" ht="20" customHeight="1">
      <c r="A126" s="2"/>
      <c r="B126" s="2"/>
      <c r="C126" s="2" t="s">
        <v>320</v>
      </c>
      <c r="D126" s="28">
        <v>0</v>
      </c>
      <c r="E126" s="28">
        <v>0</v>
      </c>
      <c r="F126" s="28">
        <v>0</v>
      </c>
      <c r="G126" s="28">
        <v>-386.4</v>
      </c>
      <c r="H126" s="30">
        <f>-'03 Schedules'!G157</f>
        <v>-112.9</v>
      </c>
      <c r="I126" s="30">
        <f>'03 Schedules'!I177</f>
        <v>0</v>
      </c>
      <c r="J126" s="30">
        <f>'03 Schedules'!J177</f>
        <v>-300</v>
      </c>
      <c r="K126" s="30">
        <f>'03 Schedules'!K177</f>
        <v>0</v>
      </c>
      <c r="L126" s="30">
        <f>'03 Schedules'!L177</f>
        <v>0</v>
      </c>
      <c r="M126" s="2"/>
      <c r="N126" s="2" t="s">
        <v>321</v>
      </c>
    </row>
    <row r="127" spans="1:14" ht="20" customHeight="1">
      <c r="A127" s="2"/>
      <c r="B127" s="2"/>
      <c r="C127" s="2" t="s">
        <v>322</v>
      </c>
      <c r="D127" s="28">
        <v>0</v>
      </c>
      <c r="E127" s="28">
        <v>0</v>
      </c>
      <c r="F127" s="28">
        <v>0</v>
      </c>
      <c r="G127" s="28">
        <v>298.39999999999998</v>
      </c>
      <c r="H127" s="30">
        <f>'03 Schedules'!H389</f>
        <v>0</v>
      </c>
      <c r="I127" s="30">
        <f>'03 Schedules'!I180</f>
        <v>0</v>
      </c>
      <c r="J127" s="30">
        <f>'03 Schedules'!J180</f>
        <v>300</v>
      </c>
      <c r="K127" s="30">
        <f>'03 Schedules'!K180</f>
        <v>0</v>
      </c>
      <c r="L127" s="30">
        <f>'03 Schedules'!L180</f>
        <v>0</v>
      </c>
      <c r="M127" s="2"/>
      <c r="N127" s="2" t="s">
        <v>323</v>
      </c>
    </row>
    <row r="128" spans="1:14" ht="20" customHeight="1">
      <c r="A128" s="2"/>
      <c r="B128" s="2"/>
      <c r="C128" s="2" t="s">
        <v>324</v>
      </c>
      <c r="D128" s="28">
        <v>0</v>
      </c>
      <c r="E128" s="28">
        <v>0</v>
      </c>
      <c r="F128" s="28">
        <v>0</v>
      </c>
      <c r="G128" s="28">
        <v>-421.5</v>
      </c>
      <c r="H128" s="30">
        <f>'03 Schedules'!H390</f>
        <v>0</v>
      </c>
      <c r="I128" s="30">
        <f>-'03 Schedules'!I322</f>
        <v>0</v>
      </c>
      <c r="J128" s="30">
        <f>-'03 Schedules'!J322</f>
        <v>0</v>
      </c>
      <c r="K128" s="30">
        <f>-'03 Schedules'!K322</f>
        <v>0</v>
      </c>
      <c r="L128" s="30">
        <f>-'03 Schedules'!L322</f>
        <v>0</v>
      </c>
      <c r="M128" s="2"/>
      <c r="N128" s="2" t="s">
        <v>325</v>
      </c>
    </row>
    <row r="129" spans="1:14" ht="20" customHeight="1">
      <c r="A129" s="2"/>
      <c r="B129" s="2"/>
      <c r="C129" s="2" t="s">
        <v>326</v>
      </c>
      <c r="D129" s="28">
        <v>-237.4</v>
      </c>
      <c r="E129" s="28">
        <v>-248.3</v>
      </c>
      <c r="F129" s="28">
        <v>-257.8</v>
      </c>
      <c r="G129" s="28">
        <v>-286.5</v>
      </c>
      <c r="H129" s="30">
        <f>'03 Schedules'!H249</f>
        <v>-318</v>
      </c>
      <c r="I129" s="30">
        <f>-'03 Schedules'!I302</f>
        <v>-340.4</v>
      </c>
      <c r="J129" s="30">
        <f>-'03 Schedules'!J302</f>
        <v>-374.1</v>
      </c>
      <c r="K129" s="30">
        <f>-'03 Schedules'!K302</f>
        <v>-396.1</v>
      </c>
      <c r="L129" s="30">
        <f>-'03 Schedules'!L302</f>
        <v>-417.2</v>
      </c>
      <c r="M129" s="2"/>
      <c r="N129" s="2" t="s">
        <v>327</v>
      </c>
    </row>
    <row r="130" spans="1:14" ht="20" customHeight="1">
      <c r="A130" s="2"/>
      <c r="B130" s="2"/>
      <c r="C130" s="2" t="s">
        <v>328</v>
      </c>
      <c r="D130" s="28">
        <v>0</v>
      </c>
      <c r="E130" s="28">
        <v>0</v>
      </c>
      <c r="F130" s="28">
        <v>-8</v>
      </c>
      <c r="G130" s="28">
        <v>-2</v>
      </c>
      <c r="H130" s="30">
        <f>-'03 Schedules'!H225</f>
        <v>-8.5</v>
      </c>
      <c r="I130" s="30">
        <f>-('03 Schedules'!I384-'03 Schedules'!I242)*'01 Assumptions'!I48</f>
        <v>-7.7589540935888062</v>
      </c>
      <c r="J130" s="30">
        <f>-('03 Schedules'!J384-'03 Schedules'!J242)*'01 Assumptions'!J48</f>
        <v>-8.2412339028729082</v>
      </c>
      <c r="K130" s="30">
        <f>-('03 Schedules'!K384-'03 Schedules'!K242)*'01 Assumptions'!K48</f>
        <v>-8.6875858880909842</v>
      </c>
      <c r="L130" s="30">
        <f>-('03 Schedules'!L384-'03 Schedules'!L242)*'01 Assumptions'!L48</f>
        <v>-9.1354043323929535</v>
      </c>
      <c r="M130" s="2"/>
      <c r="N130" s="2" t="s">
        <v>329</v>
      </c>
    </row>
    <row r="131" spans="1:14" ht="20" customHeight="1">
      <c r="A131" s="2"/>
      <c r="B131" s="2"/>
      <c r="C131" s="13" t="s">
        <v>330</v>
      </c>
      <c r="D131" s="32">
        <v>-727.1</v>
      </c>
      <c r="E131" s="32">
        <v>-663.3</v>
      </c>
      <c r="F131" s="32">
        <v>-939.6</v>
      </c>
      <c r="G131" s="32">
        <v>-1225</v>
      </c>
      <c r="H131" s="26">
        <f>SUM(H114:H130)</f>
        <v>-1286.9888666666666</v>
      </c>
      <c r="I131" s="26">
        <f>SUM(I114:I130)</f>
        <v>-1137.3164293866103</v>
      </c>
      <c r="J131" s="26">
        <f>SUM(J114:J130)</f>
        <v>-1385.7405888146486</v>
      </c>
      <c r="K131" s="26">
        <f>SUM(K114:K130)</f>
        <v>-1244.4507656077085</v>
      </c>
      <c r="L131" s="26">
        <f>SUM(L114:L130)</f>
        <v>-1471.4848225188762</v>
      </c>
      <c r="M131" s="2"/>
      <c r="N131" s="2" t="s">
        <v>331</v>
      </c>
    </row>
    <row r="132" spans="1:14" ht="20" customHeight="1">
      <c r="A132" s="2"/>
      <c r="B132" s="2"/>
      <c r="C132" s="2"/>
      <c r="D132" s="3"/>
      <c r="E132" s="3"/>
      <c r="F132" s="3"/>
      <c r="G132" s="3"/>
      <c r="H132" s="24"/>
      <c r="I132" s="24"/>
      <c r="J132" s="24"/>
      <c r="K132" s="24"/>
      <c r="L132" s="24"/>
      <c r="M132" s="2"/>
      <c r="N132" s="2"/>
    </row>
    <row r="133" spans="1:14" ht="20" customHeight="1">
      <c r="A133" s="2"/>
      <c r="B133" s="2"/>
      <c r="C133" s="2" t="s">
        <v>332</v>
      </c>
      <c r="D133" s="28">
        <v>-199.7</v>
      </c>
      <c r="E133" s="28">
        <v>122.6</v>
      </c>
      <c r="F133" s="28">
        <v>13.1</v>
      </c>
      <c r="G133" s="28">
        <v>-111.3</v>
      </c>
      <c r="H133" s="24">
        <f>H99+H111+H131</f>
        <v>15.5481546977162</v>
      </c>
      <c r="I133" s="24">
        <f>I99+I111+I131</f>
        <v>-11.748154697716245</v>
      </c>
      <c r="J133" s="24">
        <f>J99+J111+J131</f>
        <v>0</v>
      </c>
      <c r="K133" s="24">
        <f>K99+K111+K131</f>
        <v>0</v>
      </c>
      <c r="L133" s="24">
        <f>L99+L111+L131</f>
        <v>0</v>
      </c>
      <c r="M133" s="2"/>
      <c r="N133" s="2" t="s">
        <v>333</v>
      </c>
    </row>
    <row r="134" spans="1:14" ht="20" customHeight="1">
      <c r="A134" s="2"/>
      <c r="B134" s="2"/>
      <c r="C134" s="2" t="s">
        <v>334</v>
      </c>
      <c r="D134" s="28">
        <v>199.9</v>
      </c>
      <c r="E134" s="28">
        <v>2.7</v>
      </c>
      <c r="F134" s="28">
        <v>124.3</v>
      </c>
      <c r="G134" s="28">
        <v>171.3</v>
      </c>
      <c r="H134" s="24">
        <f>G137</f>
        <v>60.2</v>
      </c>
      <c r="I134" s="24">
        <f>H137</f>
        <v>75.748154697716203</v>
      </c>
      <c r="J134" s="24">
        <f>I137</f>
        <v>63.999999999999957</v>
      </c>
      <c r="K134" s="24">
        <f>J137</f>
        <v>63.999999999999957</v>
      </c>
      <c r="L134" s="24">
        <f>K137</f>
        <v>63.999999999999957</v>
      </c>
      <c r="M134" s="2"/>
      <c r="N134" s="2" t="s">
        <v>335</v>
      </c>
    </row>
    <row r="135" spans="1:14" ht="20" customHeight="1">
      <c r="A135" s="2"/>
      <c r="B135" s="2"/>
      <c r="C135" s="2" t="s">
        <v>336</v>
      </c>
      <c r="D135" s="28">
        <v>0</v>
      </c>
      <c r="E135" s="28">
        <v>0</v>
      </c>
      <c r="F135" s="28">
        <v>33.9</v>
      </c>
      <c r="G135" s="28">
        <v>0</v>
      </c>
      <c r="H135" s="30">
        <f>'03 Schedules'!H391</f>
        <v>0</v>
      </c>
      <c r="I135" s="24">
        <f>0</f>
        <v>0</v>
      </c>
      <c r="J135" s="24">
        <f>0</f>
        <v>0</v>
      </c>
      <c r="K135" s="24">
        <f>0</f>
        <v>0</v>
      </c>
      <c r="L135" s="24">
        <f>0</f>
        <v>0</v>
      </c>
      <c r="M135" s="2"/>
      <c r="N135" s="2" t="s">
        <v>337</v>
      </c>
    </row>
    <row r="136" spans="1:14" ht="20" customHeight="1">
      <c r="A136" s="2"/>
      <c r="B136" s="2"/>
      <c r="C136" s="2" t="s">
        <v>338</v>
      </c>
      <c r="D136" s="28">
        <v>2.5</v>
      </c>
      <c r="E136" s="28">
        <v>-1</v>
      </c>
      <c r="F136" s="28">
        <v>0</v>
      </c>
      <c r="G136" s="28">
        <v>0.2</v>
      </c>
      <c r="H136" s="30">
        <f>'03 Schedules'!H345</f>
        <v>0</v>
      </c>
      <c r="I136" s="30">
        <f>'03 Schedules'!I345</f>
        <v>0</v>
      </c>
      <c r="J136" s="30">
        <f>'03 Schedules'!J345</f>
        <v>0</v>
      </c>
      <c r="K136" s="30">
        <f>'03 Schedules'!K345</f>
        <v>0</v>
      </c>
      <c r="L136" s="30">
        <f>'03 Schedules'!L345</f>
        <v>0</v>
      </c>
      <c r="M136" s="2"/>
      <c r="N136" s="2" t="s">
        <v>339</v>
      </c>
    </row>
    <row r="137" spans="1:14" ht="20" customHeight="1">
      <c r="A137" s="2"/>
      <c r="B137" s="2"/>
      <c r="C137" s="13" t="s">
        <v>340</v>
      </c>
      <c r="D137" s="32">
        <v>2.7</v>
      </c>
      <c r="E137" s="32">
        <v>124.3</v>
      </c>
      <c r="F137" s="32">
        <v>171.3</v>
      </c>
      <c r="G137" s="32">
        <v>60.2</v>
      </c>
      <c r="H137" s="26">
        <f>H134+H133+H135+H136</f>
        <v>75.748154697716203</v>
      </c>
      <c r="I137" s="26">
        <f>SUM(I133:I136)</f>
        <v>63.999999999999957</v>
      </c>
      <c r="J137" s="26">
        <f>SUM(J133:J136)</f>
        <v>63.999999999999957</v>
      </c>
      <c r="K137" s="26">
        <f>SUM(K133:K136)</f>
        <v>63.999999999999957</v>
      </c>
      <c r="L137" s="26">
        <f>SUM(L133:L136)</f>
        <v>63.999999999999957</v>
      </c>
      <c r="M137" s="2"/>
      <c r="N137" s="2" t="s">
        <v>341</v>
      </c>
    </row>
  </sheetData>
  <hyperlinks>
    <hyperlink ref="C4" location="'00 Cover'!C2" display="Return to Cover" xr:uid="{00000000-0004-0000-0200-000000000000}"/>
    <hyperlink ref="N7" location="'03 Schedules'!C362" display="Earnings calculation" xr:uid="{00000000-0004-0000-0200-000001000000}"/>
    <hyperlink ref="N33" location="'03 Schedules'!C9" display="Supporting schedules" xr:uid="{00000000-0004-0000-0200-000002000000}"/>
    <hyperlink ref="N94" location="'03 Schedules'!C336" display="Operating cash build" xr:uid="{00000000-0004-0000-0200-000003000000}"/>
  </hyperlinks>
  <printOptions horizontalCentered="1"/>
  <pageMargins left="0.25" right="0.25" top="0.35" bottom="0.35" header="0.15" footer="0.15"/>
  <pageSetup paperSize="8" fitToHeight="0" orientation="landscape"/>
  <headerFooter>
    <oddFooter>&amp;LObinna Okey-Udeji | NEXT plc&amp;CInformation through 5 Aug 2026&amp;RPage &amp;P of &amp;N</oddFooter>
  </headerFooter>
  <rowBreaks count="2" manualBreakCount="2">
    <brk id="32" max="16383" man="1"/>
    <brk id="93"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AC6CF"/>
    <pageSetUpPr fitToPage="1"/>
  </sheetPr>
  <dimension ref="A1:N437"/>
  <sheetViews>
    <sheetView showGridLines="0" topLeftCell="C1" zoomScale="85" zoomScaleNormal="100" workbookViewId="0">
      <pane xSplit="3" ySplit="6" topLeftCell="F7" activePane="bottomRight" state="frozen"/>
      <selection pane="topRight" activeCell="C1" sqref="C1"/>
      <selection pane="bottomLeft" activeCell="C1" sqref="C1"/>
      <selection pane="bottomRight" activeCell="N10" sqref="N10"/>
    </sheetView>
  </sheetViews>
  <sheetFormatPr baseColWidth="10" defaultColWidth="8.83203125" defaultRowHeight="14"/>
  <cols>
    <col min="1" max="2" width="2" customWidth="1"/>
    <col min="3" max="3" width="53" customWidth="1"/>
    <col min="4" max="12" width="13" customWidth="1"/>
    <col min="13" max="13" width="3" customWidth="1"/>
    <col min="14" max="14" width="36" customWidth="1"/>
  </cols>
  <sheetData>
    <row r="1" spans="1:14" ht="20" customHeight="1">
      <c r="A1" s="2"/>
      <c r="B1" s="2"/>
      <c r="C1" s="2"/>
      <c r="D1" s="3"/>
      <c r="E1" s="3"/>
      <c r="F1" s="3"/>
      <c r="G1" s="3"/>
      <c r="H1" s="3"/>
      <c r="I1" s="3"/>
      <c r="J1" s="3"/>
      <c r="K1" s="3"/>
      <c r="L1" s="3"/>
      <c r="M1" s="2"/>
      <c r="N1" s="2"/>
    </row>
    <row r="2" spans="1:14" ht="20" customHeight="1">
      <c r="A2" s="2"/>
      <c r="B2" s="2"/>
      <c r="C2" s="4" t="s">
        <v>170</v>
      </c>
      <c r="D2" s="5"/>
      <c r="E2" s="5"/>
      <c r="F2" s="5"/>
      <c r="G2" s="5"/>
      <c r="H2" s="5"/>
      <c r="I2" s="5"/>
      <c r="J2" s="5"/>
      <c r="K2" s="5"/>
      <c r="L2" s="5"/>
      <c r="M2" s="2"/>
      <c r="N2" s="2"/>
    </row>
    <row r="3" spans="1:14" ht="20" customHeight="1">
      <c r="A3" s="2"/>
      <c r="B3" s="2"/>
      <c r="C3" s="2"/>
      <c r="D3" s="3"/>
      <c r="E3" s="3"/>
      <c r="F3" s="3"/>
      <c r="G3" s="3"/>
      <c r="H3" s="3"/>
      <c r="I3" s="3"/>
      <c r="J3" s="3"/>
      <c r="K3" s="3"/>
      <c r="L3" s="3"/>
      <c r="M3" s="2"/>
      <c r="N3" s="2"/>
    </row>
    <row r="4" spans="1:14" ht="20" customHeight="1">
      <c r="A4" s="2"/>
      <c r="B4" s="2"/>
      <c r="C4" s="10" t="s">
        <v>51</v>
      </c>
      <c r="D4" s="3"/>
      <c r="E4" s="3"/>
      <c r="F4" s="3"/>
      <c r="G4" s="3"/>
      <c r="H4" s="3"/>
      <c r="I4" s="3"/>
      <c r="J4" s="3"/>
      <c r="K4" s="3"/>
      <c r="L4" s="3"/>
      <c r="M4" s="2"/>
      <c r="N4" s="2"/>
    </row>
    <row r="5" spans="1:14" ht="20" customHeight="1">
      <c r="A5" s="2"/>
      <c r="B5" s="2"/>
      <c r="C5" s="2" t="s">
        <v>52</v>
      </c>
      <c r="D5" s="3"/>
      <c r="E5" s="3"/>
      <c r="F5" s="3"/>
      <c r="G5" s="3"/>
      <c r="H5" s="3"/>
      <c r="I5" s="3"/>
      <c r="J5" s="3"/>
      <c r="K5" s="3"/>
      <c r="L5" s="3"/>
      <c r="M5" s="2"/>
      <c r="N5" s="2"/>
    </row>
    <row r="6" spans="1:14" ht="23" customHeight="1">
      <c r="A6" s="2"/>
      <c r="B6" s="2"/>
      <c r="C6" s="8"/>
      <c r="D6" s="40" t="s">
        <v>24</v>
      </c>
      <c r="E6" s="40" t="s">
        <v>25</v>
      </c>
      <c r="F6" s="40" t="s">
        <v>26</v>
      </c>
      <c r="G6" s="40" t="s">
        <v>27</v>
      </c>
      <c r="H6" s="9" t="s">
        <v>28</v>
      </c>
      <c r="I6" s="9" t="s">
        <v>29</v>
      </c>
      <c r="J6" s="9" t="s">
        <v>30</v>
      </c>
      <c r="K6" s="9" t="s">
        <v>31</v>
      </c>
      <c r="L6" s="9" t="s">
        <v>32</v>
      </c>
      <c r="M6" s="2"/>
      <c r="N6" s="2"/>
    </row>
    <row r="7" spans="1:14" ht="25" customHeight="1">
      <c r="A7" s="2"/>
      <c r="B7" s="2"/>
      <c r="C7" s="16"/>
      <c r="D7" s="3"/>
      <c r="E7" s="3"/>
      <c r="F7" s="3"/>
      <c r="G7" s="3"/>
      <c r="H7" s="24"/>
      <c r="I7" s="24"/>
      <c r="J7" s="24"/>
      <c r="K7" s="24"/>
      <c r="L7" s="24"/>
      <c r="M7" s="2"/>
      <c r="N7" s="2"/>
    </row>
    <row r="8" spans="1:14" ht="25" customHeight="1">
      <c r="A8" s="2"/>
      <c r="B8" s="2"/>
      <c r="C8" s="16"/>
      <c r="D8" s="3"/>
      <c r="E8" s="3"/>
      <c r="F8" s="3"/>
      <c r="G8" s="3"/>
      <c r="H8" s="24"/>
      <c r="I8" s="24"/>
      <c r="J8" s="24"/>
      <c r="K8" s="24"/>
      <c r="L8" s="24"/>
      <c r="M8" s="2"/>
      <c r="N8" s="2"/>
    </row>
    <row r="9" spans="1:14" ht="25" customHeight="1">
      <c r="A9" s="2"/>
      <c r="B9" s="2"/>
      <c r="C9" s="41" t="s">
        <v>342</v>
      </c>
      <c r="D9" s="7"/>
      <c r="E9" s="7"/>
      <c r="F9" s="7"/>
      <c r="G9" s="7"/>
      <c r="H9" s="7"/>
      <c r="I9" s="7"/>
      <c r="J9" s="7"/>
      <c r="K9" s="7"/>
      <c r="L9" s="7"/>
      <c r="M9" s="2"/>
      <c r="N9" s="10" t="s">
        <v>343</v>
      </c>
    </row>
    <row r="10" spans="1:14" ht="25" customHeight="1">
      <c r="A10" s="2"/>
      <c r="B10" s="2"/>
      <c r="C10" s="16" t="s">
        <v>344</v>
      </c>
      <c r="D10" s="3"/>
      <c r="E10" s="3"/>
      <c r="F10" s="3"/>
      <c r="G10" s="3"/>
      <c r="H10" s="29">
        <v>-120</v>
      </c>
      <c r="I10" s="29">
        <v>-128</v>
      </c>
      <c r="J10" s="29">
        <v>-140</v>
      </c>
      <c r="K10" s="29">
        <v>-155</v>
      </c>
      <c r="L10" s="29">
        <v>-170</v>
      </c>
      <c r="M10" s="2"/>
      <c r="N10" s="52" t="s">
        <v>345</v>
      </c>
    </row>
    <row r="11" spans="1:14" ht="25" customHeight="1">
      <c r="A11" s="2"/>
      <c r="B11" s="2"/>
      <c r="C11" s="16" t="s">
        <v>346</v>
      </c>
      <c r="D11" s="3"/>
      <c r="E11" s="3"/>
      <c r="F11" s="3"/>
      <c r="G11" s="3"/>
      <c r="H11" s="29">
        <v>0</v>
      </c>
      <c r="I11" s="29">
        <v>0</v>
      </c>
      <c r="J11" s="29">
        <v>0</v>
      </c>
      <c r="K11" s="29">
        <v>0</v>
      </c>
      <c r="L11" s="29">
        <v>0</v>
      </c>
      <c r="M11" s="2"/>
      <c r="N11" s="52" t="s">
        <v>347</v>
      </c>
    </row>
    <row r="12" spans="1:14" ht="25" customHeight="1">
      <c r="A12" s="2"/>
      <c r="B12" s="2"/>
      <c r="C12" s="16" t="s">
        <v>348</v>
      </c>
      <c r="D12" s="3"/>
      <c r="E12" s="3"/>
      <c r="F12" s="3"/>
      <c r="G12" s="3"/>
      <c r="H12" s="30">
        <f>'01 Assumptions'!H24-'01 Assumptions'!H25</f>
        <v>208</v>
      </c>
      <c r="I12" s="30">
        <f>'01 Assumptions'!I24-'01 Assumptions'!I25</f>
        <v>220</v>
      </c>
      <c r="J12" s="30">
        <f>'01 Assumptions'!J24-'01 Assumptions'!J25</f>
        <v>195</v>
      </c>
      <c r="K12" s="30">
        <f>'01 Assumptions'!K24-'01 Assumptions'!K25</f>
        <v>257</v>
      </c>
      <c r="L12" s="30">
        <f>'01 Assumptions'!L24-'01 Assumptions'!L25</f>
        <v>268</v>
      </c>
      <c r="M12" s="2"/>
      <c r="N12" s="52" t="s">
        <v>349</v>
      </c>
    </row>
    <row r="13" spans="1:14" ht="25" customHeight="1">
      <c r="A13" s="2"/>
      <c r="B13" s="2"/>
      <c r="C13" s="16" t="s">
        <v>350</v>
      </c>
      <c r="D13" s="3"/>
      <c r="E13" s="3"/>
      <c r="F13" s="3"/>
      <c r="G13" s="3"/>
      <c r="H13" s="29">
        <v>0</v>
      </c>
      <c r="I13" s="29">
        <v>0</v>
      </c>
      <c r="J13" s="29">
        <v>0</v>
      </c>
      <c r="K13" s="29">
        <v>0</v>
      </c>
      <c r="L13" s="29">
        <v>0</v>
      </c>
      <c r="M13" s="2"/>
      <c r="N13" s="52" t="s">
        <v>351</v>
      </c>
    </row>
    <row r="14" spans="1:14" ht="25" customHeight="1">
      <c r="A14" s="2"/>
      <c r="B14" s="2"/>
      <c r="C14" s="16" t="s">
        <v>352</v>
      </c>
      <c r="D14" s="3"/>
      <c r="E14" s="3"/>
      <c r="F14" s="3"/>
      <c r="G14" s="3"/>
      <c r="H14" s="29">
        <v>0</v>
      </c>
      <c r="I14" s="29">
        <v>0</v>
      </c>
      <c r="J14" s="29">
        <v>0</v>
      </c>
      <c r="K14" s="29">
        <v>0</v>
      </c>
      <c r="L14" s="29">
        <v>0</v>
      </c>
      <c r="M14" s="2"/>
      <c r="N14" s="52" t="s">
        <v>353</v>
      </c>
    </row>
    <row r="15" spans="1:14" ht="25" customHeight="1">
      <c r="A15" s="2"/>
      <c r="B15" s="2"/>
      <c r="C15" s="16" t="s">
        <v>354</v>
      </c>
      <c r="D15" s="3"/>
      <c r="E15" s="3"/>
      <c r="F15" s="3"/>
      <c r="G15" s="3"/>
      <c r="H15" s="29">
        <v>0</v>
      </c>
      <c r="I15" s="29">
        <v>0</v>
      </c>
      <c r="J15" s="29">
        <v>0</v>
      </c>
      <c r="K15" s="29">
        <v>0</v>
      </c>
      <c r="L15" s="29">
        <v>0</v>
      </c>
      <c r="M15" s="2"/>
      <c r="N15" s="52" t="s">
        <v>355</v>
      </c>
    </row>
    <row r="16" spans="1:14" ht="25" customHeight="1">
      <c r="A16" s="2"/>
      <c r="B16" s="2"/>
      <c r="C16" s="16" t="s">
        <v>356</v>
      </c>
      <c r="D16" s="3"/>
      <c r="E16" s="3"/>
      <c r="F16" s="3"/>
      <c r="G16" s="3"/>
      <c r="H16" s="29">
        <v>0</v>
      </c>
      <c r="I16" s="29">
        <v>0</v>
      </c>
      <c r="J16" s="29">
        <v>0</v>
      </c>
      <c r="K16" s="29">
        <v>0</v>
      </c>
      <c r="L16" s="29">
        <v>0</v>
      </c>
      <c r="M16" s="2"/>
      <c r="N16" s="52" t="s">
        <v>357</v>
      </c>
    </row>
    <row r="17" spans="1:14" ht="25" customHeight="1">
      <c r="A17" s="2"/>
      <c r="B17" s="2"/>
      <c r="C17" s="16" t="s">
        <v>358</v>
      </c>
      <c r="D17" s="3"/>
      <c r="E17" s="3"/>
      <c r="F17" s="3"/>
      <c r="G17" s="3"/>
      <c r="H17" s="29">
        <v>0</v>
      </c>
      <c r="I17" s="29">
        <v>0</v>
      </c>
      <c r="J17" s="29">
        <v>0</v>
      </c>
      <c r="K17" s="29">
        <v>0</v>
      </c>
      <c r="L17" s="29">
        <v>0</v>
      </c>
      <c r="M17" s="2"/>
      <c r="N17" s="52" t="s">
        <v>359</v>
      </c>
    </row>
    <row r="18" spans="1:14" ht="25" customHeight="1">
      <c r="A18" s="2"/>
      <c r="B18" s="2"/>
      <c r="C18" s="16"/>
      <c r="D18" s="3"/>
      <c r="E18" s="3"/>
      <c r="F18" s="3"/>
      <c r="G18" s="3"/>
      <c r="H18" s="24"/>
      <c r="I18" s="24"/>
      <c r="J18" s="24"/>
      <c r="K18" s="24"/>
      <c r="L18" s="24"/>
      <c r="M18" s="2"/>
      <c r="N18" s="52"/>
    </row>
    <row r="19" spans="1:14" ht="25" customHeight="1">
      <c r="A19" s="2"/>
      <c r="B19" s="2"/>
      <c r="C19" s="16" t="s">
        <v>360</v>
      </c>
      <c r="D19" s="28">
        <v>601.1</v>
      </c>
      <c r="E19" s="28">
        <v>644.79999999999995</v>
      </c>
      <c r="F19" s="28">
        <v>687.5</v>
      </c>
      <c r="G19" s="28">
        <v>686.4</v>
      </c>
      <c r="H19" s="24">
        <f>G23</f>
        <v>667.7</v>
      </c>
      <c r="I19" s="24">
        <f>H23</f>
        <v>755.7</v>
      </c>
      <c r="J19" s="24">
        <f>I23</f>
        <v>847.7</v>
      </c>
      <c r="K19" s="24">
        <f>J23</f>
        <v>902.7</v>
      </c>
      <c r="L19" s="24">
        <f>K23</f>
        <v>1004.7</v>
      </c>
      <c r="M19" s="2"/>
      <c r="N19" s="52"/>
    </row>
    <row r="20" spans="1:14" ht="25" customHeight="1">
      <c r="A20" s="2"/>
      <c r="B20" s="2"/>
      <c r="C20" s="16" t="s">
        <v>361</v>
      </c>
      <c r="D20" s="28">
        <v>207.1</v>
      </c>
      <c r="E20" s="28">
        <v>160.9</v>
      </c>
      <c r="F20" s="28">
        <v>122.9</v>
      </c>
      <c r="G20" s="28">
        <v>139.6</v>
      </c>
      <c r="H20" s="24">
        <f>H12</f>
        <v>208</v>
      </c>
      <c r="I20" s="24">
        <f>I12</f>
        <v>220</v>
      </c>
      <c r="J20" s="24">
        <f>J12</f>
        <v>195</v>
      </c>
      <c r="K20" s="24">
        <f>K12</f>
        <v>257</v>
      </c>
      <c r="L20" s="24">
        <f>L12</f>
        <v>268</v>
      </c>
      <c r="M20" s="2"/>
      <c r="N20" s="52"/>
    </row>
    <row r="21" spans="1:14" ht="25" customHeight="1">
      <c r="A21" s="2"/>
      <c r="B21" s="2"/>
      <c r="C21" s="16" t="s">
        <v>362</v>
      </c>
      <c r="D21" s="28">
        <v>-100.5</v>
      </c>
      <c r="E21" s="28">
        <v>-94.9</v>
      </c>
      <c r="F21" s="28">
        <v>-114.5</v>
      </c>
      <c r="G21" s="28">
        <v>-116.8</v>
      </c>
      <c r="H21" s="24">
        <f t="shared" ref="H21:L22" si="0">H10</f>
        <v>-120</v>
      </c>
      <c r="I21" s="24">
        <f t="shared" si="0"/>
        <v>-128</v>
      </c>
      <c r="J21" s="24">
        <f t="shared" si="0"/>
        <v>-140</v>
      </c>
      <c r="K21" s="24">
        <f t="shared" si="0"/>
        <v>-155</v>
      </c>
      <c r="L21" s="24">
        <f t="shared" si="0"/>
        <v>-170</v>
      </c>
      <c r="M21" s="2"/>
      <c r="N21" s="52"/>
    </row>
    <row r="22" spans="1:14" ht="25" customHeight="1">
      <c r="A22" s="2"/>
      <c r="B22" s="2"/>
      <c r="C22" s="16" t="s">
        <v>363</v>
      </c>
      <c r="D22" s="28">
        <v>-62.9</v>
      </c>
      <c r="E22" s="28">
        <v>-23.3</v>
      </c>
      <c r="F22" s="28">
        <v>-9.5</v>
      </c>
      <c r="G22" s="28">
        <v>-41.5</v>
      </c>
      <c r="H22" s="24">
        <f t="shared" si="0"/>
        <v>0</v>
      </c>
      <c r="I22" s="24">
        <f t="shared" si="0"/>
        <v>0</v>
      </c>
      <c r="J22" s="24">
        <f t="shared" si="0"/>
        <v>0</v>
      </c>
      <c r="K22" s="24">
        <f t="shared" si="0"/>
        <v>0</v>
      </c>
      <c r="L22" s="24">
        <f t="shared" si="0"/>
        <v>0</v>
      </c>
      <c r="M22" s="2"/>
      <c r="N22" s="52"/>
    </row>
    <row r="23" spans="1:14" ht="25" customHeight="1">
      <c r="A23" s="2"/>
      <c r="B23" s="2"/>
      <c r="C23" s="16" t="s">
        <v>364</v>
      </c>
      <c r="D23" s="28">
        <v>644.79999999999995</v>
      </c>
      <c r="E23" s="28">
        <v>687.5</v>
      </c>
      <c r="F23" s="28">
        <v>686.4</v>
      </c>
      <c r="G23" s="28">
        <v>667.7</v>
      </c>
      <c r="H23" s="24">
        <f>SUM(H19:H22)</f>
        <v>755.7</v>
      </c>
      <c r="I23" s="24">
        <f>SUM(I19:I22)</f>
        <v>847.7</v>
      </c>
      <c r="J23" s="24">
        <f>SUM(J19:J22)</f>
        <v>902.7</v>
      </c>
      <c r="K23" s="24">
        <f>SUM(K19:K22)</f>
        <v>1004.7</v>
      </c>
      <c r="L23" s="24">
        <f>SUM(L19:L22)</f>
        <v>1102.7</v>
      </c>
      <c r="M23" s="2"/>
      <c r="N23" s="52"/>
    </row>
    <row r="24" spans="1:14" ht="25" customHeight="1">
      <c r="A24" s="2"/>
      <c r="B24" s="2"/>
      <c r="C24" s="16"/>
      <c r="D24" s="3"/>
      <c r="E24" s="3"/>
      <c r="F24" s="3"/>
      <c r="G24" s="3"/>
      <c r="H24" s="24"/>
      <c r="I24" s="24"/>
      <c r="J24" s="24"/>
      <c r="K24" s="24"/>
      <c r="L24" s="24"/>
      <c r="M24" s="2"/>
      <c r="N24" s="52"/>
    </row>
    <row r="25" spans="1:14" ht="25" customHeight="1">
      <c r="A25" s="2"/>
      <c r="B25" s="2"/>
      <c r="C25" s="16"/>
      <c r="D25" s="3"/>
      <c r="E25" s="3"/>
      <c r="F25" s="3"/>
      <c r="G25" s="3"/>
      <c r="H25" s="24"/>
      <c r="I25" s="24"/>
      <c r="J25" s="24"/>
      <c r="K25" s="24"/>
      <c r="L25" s="24"/>
      <c r="M25" s="2"/>
      <c r="N25" s="52"/>
    </row>
    <row r="26" spans="1:14" ht="25" customHeight="1">
      <c r="A26" s="2"/>
      <c r="B26" s="2"/>
      <c r="C26" s="16"/>
      <c r="D26" s="3"/>
      <c r="E26" s="3"/>
      <c r="F26" s="3"/>
      <c r="G26" s="3"/>
      <c r="H26" s="24"/>
      <c r="I26" s="24"/>
      <c r="J26" s="24"/>
      <c r="K26" s="24"/>
      <c r="L26" s="24"/>
      <c r="M26" s="2"/>
      <c r="N26" s="52"/>
    </row>
    <row r="27" spans="1:14" ht="25" customHeight="1">
      <c r="A27" s="2"/>
      <c r="B27" s="2"/>
      <c r="C27" s="16"/>
      <c r="D27" s="3"/>
      <c r="E27" s="3"/>
      <c r="F27" s="3"/>
      <c r="G27" s="3"/>
      <c r="H27" s="24"/>
      <c r="I27" s="24"/>
      <c r="J27" s="24"/>
      <c r="K27" s="24"/>
      <c r="L27" s="24"/>
      <c r="M27" s="2"/>
      <c r="N27" s="52"/>
    </row>
    <row r="28" spans="1:14" ht="25" customHeight="1">
      <c r="A28" s="2"/>
      <c r="B28" s="2"/>
      <c r="C28" s="41" t="s">
        <v>365</v>
      </c>
      <c r="D28" s="7"/>
      <c r="E28" s="7"/>
      <c r="F28" s="7"/>
      <c r="G28" s="7"/>
      <c r="H28" s="7"/>
      <c r="I28" s="7"/>
      <c r="J28" s="7"/>
      <c r="K28" s="7"/>
      <c r="L28" s="7"/>
      <c r="M28" s="2"/>
      <c r="N28" s="52" t="s">
        <v>343</v>
      </c>
    </row>
    <row r="29" spans="1:14" ht="25" customHeight="1">
      <c r="A29" s="2"/>
      <c r="B29" s="2"/>
      <c r="C29" s="16" t="s">
        <v>366</v>
      </c>
      <c r="D29" s="3"/>
      <c r="E29" s="3"/>
      <c r="F29" s="3"/>
      <c r="G29" s="3"/>
      <c r="H29" s="29">
        <v>-58</v>
      </c>
      <c r="I29" s="29">
        <v>-60</v>
      </c>
      <c r="J29" s="29">
        <v>-62</v>
      </c>
      <c r="K29" s="29">
        <v>-64</v>
      </c>
      <c r="L29" s="29">
        <v>-66</v>
      </c>
      <c r="M29" s="2"/>
      <c r="N29" s="52" t="s">
        <v>367</v>
      </c>
    </row>
    <row r="30" spans="1:14" ht="25" customHeight="1">
      <c r="A30" s="2"/>
      <c r="B30" s="2"/>
      <c r="C30" s="16" t="s">
        <v>368</v>
      </c>
      <c r="D30" s="3"/>
      <c r="E30" s="3"/>
      <c r="F30" s="3"/>
      <c r="G30" s="3"/>
      <c r="H30" s="29">
        <v>0</v>
      </c>
      <c r="I30" s="29">
        <v>0</v>
      </c>
      <c r="J30" s="29">
        <v>0</v>
      </c>
      <c r="K30" s="29">
        <v>0</v>
      </c>
      <c r="L30" s="29">
        <v>0</v>
      </c>
      <c r="M30" s="2"/>
      <c r="N30" s="52" t="s">
        <v>369</v>
      </c>
    </row>
    <row r="31" spans="1:14" ht="25" customHeight="1">
      <c r="A31" s="2"/>
      <c r="B31" s="2"/>
      <c r="C31" s="16" t="s">
        <v>370</v>
      </c>
      <c r="D31" s="3"/>
      <c r="E31" s="3"/>
      <c r="F31" s="3"/>
      <c r="G31" s="3"/>
      <c r="H31" s="29">
        <v>0</v>
      </c>
      <c r="I31" s="29">
        <v>0</v>
      </c>
      <c r="J31" s="29">
        <v>0</v>
      </c>
      <c r="K31" s="29">
        <v>0</v>
      </c>
      <c r="L31" s="29">
        <v>0</v>
      </c>
      <c r="M31" s="2"/>
      <c r="N31" s="52" t="s">
        <v>371</v>
      </c>
    </row>
    <row r="32" spans="1:14" ht="25" customHeight="1">
      <c r="A32" s="2"/>
      <c r="B32" s="2"/>
      <c r="C32" s="16" t="s">
        <v>372</v>
      </c>
      <c r="D32" s="3"/>
      <c r="E32" s="3"/>
      <c r="F32" s="3"/>
      <c r="G32" s="3"/>
      <c r="H32" s="29">
        <v>0</v>
      </c>
      <c r="I32" s="29">
        <v>0</v>
      </c>
      <c r="J32" s="29">
        <v>0</v>
      </c>
      <c r="K32" s="29">
        <v>0</v>
      </c>
      <c r="L32" s="29">
        <v>0</v>
      </c>
      <c r="M32" s="2"/>
      <c r="N32" s="52" t="s">
        <v>373</v>
      </c>
    </row>
    <row r="33" spans="1:14" ht="25" customHeight="1">
      <c r="A33" s="2"/>
      <c r="B33" s="2"/>
      <c r="C33" s="16" t="s">
        <v>374</v>
      </c>
      <c r="D33" s="3"/>
      <c r="E33" s="3"/>
      <c r="F33" s="3"/>
      <c r="G33" s="3"/>
      <c r="H33" s="29">
        <v>0</v>
      </c>
      <c r="I33" s="29">
        <v>0</v>
      </c>
      <c r="J33" s="29">
        <v>0</v>
      </c>
      <c r="K33" s="29">
        <v>0</v>
      </c>
      <c r="L33" s="29">
        <v>0</v>
      </c>
      <c r="M33" s="2"/>
      <c r="N33" s="52" t="s">
        <v>375</v>
      </c>
    </row>
    <row r="34" spans="1:14" ht="25" customHeight="1">
      <c r="A34" s="2"/>
      <c r="B34" s="2"/>
      <c r="C34" s="16" t="s">
        <v>376</v>
      </c>
      <c r="D34" s="3"/>
      <c r="E34" s="3"/>
      <c r="F34" s="3"/>
      <c r="G34" s="3"/>
      <c r="H34" s="29">
        <v>0</v>
      </c>
      <c r="I34" s="29">
        <v>0</v>
      </c>
      <c r="J34" s="29">
        <v>0</v>
      </c>
      <c r="K34" s="29">
        <v>0</v>
      </c>
      <c r="L34" s="29">
        <v>0</v>
      </c>
      <c r="M34" s="2"/>
      <c r="N34" s="52" t="s">
        <v>377</v>
      </c>
    </row>
    <row r="35" spans="1:14" ht="25" customHeight="1">
      <c r="A35" s="2"/>
      <c r="B35" s="2"/>
      <c r="C35" s="16" t="s">
        <v>378</v>
      </c>
      <c r="D35" s="3"/>
      <c r="E35" s="3"/>
      <c r="F35" s="3"/>
      <c r="G35" s="3"/>
      <c r="H35" s="29">
        <v>0</v>
      </c>
      <c r="I35" s="29">
        <v>0</v>
      </c>
      <c r="J35" s="29">
        <v>0</v>
      </c>
      <c r="K35" s="29">
        <v>0</v>
      </c>
      <c r="L35" s="29">
        <v>0</v>
      </c>
      <c r="M35" s="2"/>
      <c r="N35" s="52" t="s">
        <v>379</v>
      </c>
    </row>
    <row r="36" spans="1:14" ht="25" customHeight="1">
      <c r="A36" s="2"/>
      <c r="B36" s="2"/>
      <c r="C36" s="16" t="s">
        <v>380</v>
      </c>
      <c r="D36" s="3"/>
      <c r="E36" s="3"/>
      <c r="F36" s="3"/>
      <c r="G36" s="3"/>
      <c r="H36" s="29">
        <v>0</v>
      </c>
      <c r="I36" s="29">
        <v>0</v>
      </c>
      <c r="J36" s="29">
        <v>0</v>
      </c>
      <c r="K36" s="29">
        <v>0</v>
      </c>
      <c r="L36" s="29">
        <v>0</v>
      </c>
      <c r="M36" s="2"/>
      <c r="N36" s="52" t="s">
        <v>381</v>
      </c>
    </row>
    <row r="37" spans="1:14" ht="25" customHeight="1">
      <c r="A37" s="2"/>
      <c r="B37" s="2"/>
      <c r="C37" s="16" t="s">
        <v>382</v>
      </c>
      <c r="D37" s="3"/>
      <c r="E37" s="3"/>
      <c r="F37" s="3"/>
      <c r="G37" s="3"/>
      <c r="H37" s="29">
        <v>0</v>
      </c>
      <c r="I37" s="29">
        <v>0</v>
      </c>
      <c r="J37" s="29">
        <v>0</v>
      </c>
      <c r="K37" s="29">
        <v>0</v>
      </c>
      <c r="L37" s="29">
        <v>0</v>
      </c>
      <c r="M37" s="2"/>
      <c r="N37" s="52" t="s">
        <v>383</v>
      </c>
    </row>
    <row r="38" spans="1:14" ht="25" customHeight="1">
      <c r="A38" s="2"/>
      <c r="B38" s="2"/>
      <c r="C38" s="16" t="s">
        <v>384</v>
      </c>
      <c r="D38" s="3"/>
      <c r="E38" s="3"/>
      <c r="F38" s="3"/>
      <c r="G38" s="3"/>
      <c r="H38" s="29">
        <v>20</v>
      </c>
      <c r="I38" s="29">
        <v>20</v>
      </c>
      <c r="J38" s="29">
        <v>20</v>
      </c>
      <c r="K38" s="29">
        <v>20</v>
      </c>
      <c r="L38" s="29">
        <v>20</v>
      </c>
      <c r="M38" s="2"/>
      <c r="N38" s="52" t="s">
        <v>385</v>
      </c>
    </row>
    <row r="39" spans="1:14" ht="25" customHeight="1">
      <c r="A39" s="2"/>
      <c r="B39" s="2"/>
      <c r="C39" s="16"/>
      <c r="D39" s="3"/>
      <c r="E39" s="3"/>
      <c r="F39" s="3"/>
      <c r="G39" s="3"/>
      <c r="H39" s="24"/>
      <c r="I39" s="24"/>
      <c r="J39" s="24"/>
      <c r="K39" s="24"/>
      <c r="L39" s="24"/>
      <c r="M39" s="2"/>
      <c r="N39" s="52"/>
    </row>
    <row r="40" spans="1:14" ht="25" customHeight="1">
      <c r="A40" s="2"/>
      <c r="B40" s="2"/>
      <c r="C40" s="16" t="s">
        <v>386</v>
      </c>
      <c r="D40" s="28">
        <v>79.3</v>
      </c>
      <c r="E40" s="28">
        <v>137.1</v>
      </c>
      <c r="F40" s="28">
        <v>757.2</v>
      </c>
      <c r="G40" s="28">
        <v>735.4</v>
      </c>
      <c r="H40" s="24">
        <f>G44</f>
        <v>713.7</v>
      </c>
      <c r="I40" s="24">
        <f>H44</f>
        <v>684.7</v>
      </c>
      <c r="J40" s="24">
        <f>I44</f>
        <v>656.7</v>
      </c>
      <c r="K40" s="24">
        <f>J44</f>
        <v>626.70000000000005</v>
      </c>
      <c r="L40" s="24">
        <f>K44</f>
        <v>594.70000000000005</v>
      </c>
      <c r="M40" s="2"/>
      <c r="N40" s="52"/>
    </row>
    <row r="41" spans="1:14" ht="25" customHeight="1">
      <c r="A41" s="2"/>
      <c r="B41" s="2"/>
      <c r="C41" s="16" t="s">
        <v>387</v>
      </c>
      <c r="D41" s="28">
        <v>41</v>
      </c>
      <c r="E41" s="28">
        <v>51.2</v>
      </c>
      <c r="F41" s="28">
        <v>28.2</v>
      </c>
      <c r="G41" s="28">
        <v>36.799999999999997</v>
      </c>
      <c r="H41" s="30">
        <f>'01 Assumptions'!H25</f>
        <v>29</v>
      </c>
      <c r="I41" s="30">
        <f>'01 Assumptions'!I25</f>
        <v>32</v>
      </c>
      <c r="J41" s="30">
        <f>'01 Assumptions'!J25</f>
        <v>32</v>
      </c>
      <c r="K41" s="30">
        <f>'01 Assumptions'!K25</f>
        <v>32</v>
      </c>
      <c r="L41" s="30">
        <f>'01 Assumptions'!L25</f>
        <v>32</v>
      </c>
      <c r="M41" s="2"/>
      <c r="N41" s="52"/>
    </row>
    <row r="42" spans="1:14" ht="25" customHeight="1">
      <c r="A42" s="2"/>
      <c r="B42" s="2"/>
      <c r="C42" s="16" t="s">
        <v>388</v>
      </c>
      <c r="D42" s="28">
        <v>-11.9</v>
      </c>
      <c r="E42" s="28">
        <v>-36.200000000000003</v>
      </c>
      <c r="F42" s="28">
        <v>-52.4</v>
      </c>
      <c r="G42" s="28">
        <v>-54.8</v>
      </c>
      <c r="H42" s="24">
        <f>H29</f>
        <v>-58</v>
      </c>
      <c r="I42" s="24">
        <f>I29</f>
        <v>-60</v>
      </c>
      <c r="J42" s="24">
        <f>J29</f>
        <v>-62</v>
      </c>
      <c r="K42" s="24">
        <f>K29</f>
        <v>-64</v>
      </c>
      <c r="L42" s="24">
        <f>L29</f>
        <v>-66</v>
      </c>
      <c r="M42" s="2"/>
      <c r="N42" s="52"/>
    </row>
    <row r="43" spans="1:14" ht="25" customHeight="1">
      <c r="A43" s="2"/>
      <c r="B43" s="2"/>
      <c r="C43" s="16" t="s">
        <v>389</v>
      </c>
      <c r="D43" s="28">
        <v>28.7</v>
      </c>
      <c r="E43" s="28">
        <v>605.1</v>
      </c>
      <c r="F43" s="28">
        <v>2.4</v>
      </c>
      <c r="G43" s="28">
        <v>-3.7</v>
      </c>
      <c r="H43" s="24">
        <f>H32</f>
        <v>0</v>
      </c>
      <c r="I43" s="24">
        <f>I32</f>
        <v>0</v>
      </c>
      <c r="J43" s="24">
        <f>J32</f>
        <v>0</v>
      </c>
      <c r="K43" s="24">
        <f>K32</f>
        <v>0</v>
      </c>
      <c r="L43" s="24">
        <f>L32</f>
        <v>0</v>
      </c>
      <c r="M43" s="2"/>
      <c r="N43" s="52"/>
    </row>
    <row r="44" spans="1:14" ht="25" customHeight="1">
      <c r="A44" s="2"/>
      <c r="B44" s="2"/>
      <c r="C44" s="16" t="s">
        <v>390</v>
      </c>
      <c r="D44" s="28">
        <v>137.1</v>
      </c>
      <c r="E44" s="28">
        <v>757.2</v>
      </c>
      <c r="F44" s="28">
        <v>735.4</v>
      </c>
      <c r="G44" s="28">
        <v>713.7</v>
      </c>
      <c r="H44" s="24">
        <f>SUM(H40:H43)</f>
        <v>684.7</v>
      </c>
      <c r="I44" s="24">
        <f>SUM(I40:I43)</f>
        <v>656.7</v>
      </c>
      <c r="J44" s="24">
        <f>SUM(J40:J43)</f>
        <v>626.70000000000005</v>
      </c>
      <c r="K44" s="24">
        <f>SUM(K40:K43)</f>
        <v>594.70000000000005</v>
      </c>
      <c r="L44" s="24">
        <f>SUM(L40:L43)</f>
        <v>560.70000000000005</v>
      </c>
      <c r="M44" s="2"/>
      <c r="N44" s="52"/>
    </row>
    <row r="45" spans="1:14" ht="25" customHeight="1">
      <c r="A45" s="2"/>
      <c r="B45" s="2"/>
      <c r="C45" s="16"/>
      <c r="D45" s="3"/>
      <c r="E45" s="3"/>
      <c r="F45" s="3"/>
      <c r="G45" s="3"/>
      <c r="H45" s="24"/>
      <c r="I45" s="24"/>
      <c r="J45" s="24"/>
      <c r="K45" s="24"/>
      <c r="L45" s="24"/>
      <c r="M45" s="2"/>
      <c r="N45" s="52"/>
    </row>
    <row r="46" spans="1:14" ht="25" customHeight="1">
      <c r="A46" s="2"/>
      <c r="B46" s="2"/>
      <c r="C46" s="16" t="s">
        <v>391</v>
      </c>
      <c r="D46" s="28">
        <v>46.2</v>
      </c>
      <c r="E46" s="28">
        <v>114.6</v>
      </c>
      <c r="F46" s="28">
        <v>38</v>
      </c>
      <c r="G46" s="28">
        <v>32.700000000000003</v>
      </c>
      <c r="H46" s="24">
        <f>G50</f>
        <v>35.200000000000003</v>
      </c>
      <c r="I46" s="24">
        <f>H50</f>
        <v>43.2</v>
      </c>
      <c r="J46" s="24">
        <f>I50</f>
        <v>51.7</v>
      </c>
      <c r="K46" s="24">
        <f>J50</f>
        <v>60.7</v>
      </c>
      <c r="L46" s="24">
        <f>K50</f>
        <v>70.2</v>
      </c>
      <c r="M46" s="2"/>
      <c r="N46" s="52"/>
    </row>
    <row r="47" spans="1:14" ht="25" customHeight="1">
      <c r="A47" s="2"/>
      <c r="B47" s="2"/>
      <c r="C47" s="16" t="s">
        <v>392</v>
      </c>
      <c r="D47" s="28">
        <v>14.3</v>
      </c>
      <c r="E47" s="28">
        <v>6.9</v>
      </c>
      <c r="F47" s="28">
        <v>6.7</v>
      </c>
      <c r="G47" s="28">
        <v>7.9</v>
      </c>
      <c r="H47" s="24">
        <f t="shared" ref="H47:L48" si="1">H375</f>
        <v>8</v>
      </c>
      <c r="I47" s="24">
        <f t="shared" si="1"/>
        <v>8.5</v>
      </c>
      <c r="J47" s="24">
        <f t="shared" si="1"/>
        <v>9</v>
      </c>
      <c r="K47" s="24">
        <f t="shared" si="1"/>
        <v>9.5</v>
      </c>
      <c r="L47" s="24">
        <f t="shared" si="1"/>
        <v>10</v>
      </c>
      <c r="M47" s="2"/>
      <c r="N47" s="52"/>
    </row>
    <row r="48" spans="1:14" ht="25" customHeight="1">
      <c r="A48" s="2"/>
      <c r="B48" s="2"/>
      <c r="C48" s="16" t="s">
        <v>393</v>
      </c>
      <c r="D48" s="28">
        <v>0</v>
      </c>
      <c r="E48" s="28">
        <v>0</v>
      </c>
      <c r="F48" s="28">
        <v>-13</v>
      </c>
      <c r="G48" s="28">
        <v>-2.9</v>
      </c>
      <c r="H48" s="24">
        <f t="shared" si="1"/>
        <v>0</v>
      </c>
      <c r="I48" s="24">
        <f t="shared" si="1"/>
        <v>0</v>
      </c>
      <c r="J48" s="24">
        <f t="shared" si="1"/>
        <v>0</v>
      </c>
      <c r="K48" s="24">
        <f t="shared" si="1"/>
        <v>0</v>
      </c>
      <c r="L48" s="24">
        <f t="shared" si="1"/>
        <v>0</v>
      </c>
      <c r="M48" s="2"/>
      <c r="N48" s="52"/>
    </row>
    <row r="49" spans="1:14" ht="25" customHeight="1">
      <c r="A49" s="2"/>
      <c r="B49" s="2"/>
      <c r="C49" s="16" t="s">
        <v>394</v>
      </c>
      <c r="D49" s="28">
        <v>54.1</v>
      </c>
      <c r="E49" s="28">
        <v>-83.5</v>
      </c>
      <c r="F49" s="28">
        <v>1</v>
      </c>
      <c r="G49" s="28">
        <v>-2.5</v>
      </c>
      <c r="H49" s="24">
        <f>H33</f>
        <v>0</v>
      </c>
      <c r="I49" s="24">
        <f>I33</f>
        <v>0</v>
      </c>
      <c r="J49" s="24">
        <f>J33</f>
        <v>0</v>
      </c>
      <c r="K49" s="24">
        <f>K33</f>
        <v>0</v>
      </c>
      <c r="L49" s="24">
        <f>L33</f>
        <v>0</v>
      </c>
      <c r="M49" s="2"/>
      <c r="N49" s="52"/>
    </row>
    <row r="50" spans="1:14" ht="25" customHeight="1">
      <c r="A50" s="2"/>
      <c r="B50" s="2"/>
      <c r="C50" s="16" t="s">
        <v>395</v>
      </c>
      <c r="D50" s="28">
        <v>114.6</v>
      </c>
      <c r="E50" s="28">
        <v>38</v>
      </c>
      <c r="F50" s="28">
        <v>32.700000000000003</v>
      </c>
      <c r="G50" s="28">
        <v>35.200000000000003</v>
      </c>
      <c r="H50" s="24">
        <f>SUM(H46:H49)</f>
        <v>43.2</v>
      </c>
      <c r="I50" s="24">
        <f>SUM(I46:I49)</f>
        <v>51.7</v>
      </c>
      <c r="J50" s="24">
        <f>SUM(J46:J49)</f>
        <v>60.7</v>
      </c>
      <c r="K50" s="24">
        <f>SUM(K46:K49)</f>
        <v>70.2</v>
      </c>
      <c r="L50" s="24">
        <f>SUM(L46:L49)</f>
        <v>80.2</v>
      </c>
      <c r="M50" s="2"/>
      <c r="N50" s="52"/>
    </row>
    <row r="51" spans="1:14" ht="25" customHeight="1">
      <c r="A51" s="2"/>
      <c r="B51" s="2"/>
      <c r="C51" s="16"/>
      <c r="D51" s="3"/>
      <c r="E51" s="3"/>
      <c r="F51" s="3"/>
      <c r="G51" s="3"/>
      <c r="H51" s="24"/>
      <c r="I51" s="24"/>
      <c r="J51" s="24"/>
      <c r="K51" s="24"/>
      <c r="L51" s="24"/>
      <c r="M51" s="2"/>
      <c r="N51" s="52"/>
    </row>
    <row r="52" spans="1:14" ht="25" customHeight="1">
      <c r="A52" s="2"/>
      <c r="B52" s="2"/>
      <c r="C52" s="16"/>
      <c r="D52" s="3"/>
      <c r="E52" s="3"/>
      <c r="F52" s="3"/>
      <c r="G52" s="3"/>
      <c r="H52" s="24"/>
      <c r="I52" s="24"/>
      <c r="J52" s="24"/>
      <c r="K52" s="24"/>
      <c r="L52" s="24"/>
      <c r="M52" s="2"/>
      <c r="N52" s="52"/>
    </row>
    <row r="53" spans="1:14" ht="25" customHeight="1">
      <c r="A53" s="2"/>
      <c r="B53" s="2"/>
      <c r="C53" s="16"/>
      <c r="D53" s="3"/>
      <c r="E53" s="3"/>
      <c r="F53" s="3"/>
      <c r="G53" s="3"/>
      <c r="H53" s="24"/>
      <c r="I53" s="24"/>
      <c r="J53" s="24"/>
      <c r="K53" s="24"/>
      <c r="L53" s="24"/>
      <c r="M53" s="2"/>
      <c r="N53" s="52"/>
    </row>
    <row r="54" spans="1:14" ht="25" customHeight="1">
      <c r="A54" s="2"/>
      <c r="B54" s="2"/>
      <c r="C54" s="16"/>
      <c r="D54" s="3"/>
      <c r="E54" s="3"/>
      <c r="F54" s="3"/>
      <c r="G54" s="3"/>
      <c r="H54" s="24"/>
      <c r="I54" s="24"/>
      <c r="J54" s="24"/>
      <c r="K54" s="24"/>
      <c r="L54" s="24"/>
      <c r="M54" s="2"/>
      <c r="N54" s="52"/>
    </row>
    <row r="55" spans="1:14" ht="25" customHeight="1">
      <c r="A55" s="2"/>
      <c r="B55" s="2"/>
      <c r="C55" s="41" t="s">
        <v>396</v>
      </c>
      <c r="D55" s="7"/>
      <c r="E55" s="7"/>
      <c r="F55" s="7"/>
      <c r="G55" s="7"/>
      <c r="H55" s="7"/>
      <c r="I55" s="7"/>
      <c r="J55" s="7"/>
      <c r="K55" s="7"/>
      <c r="L55" s="7"/>
      <c r="M55" s="2"/>
      <c r="N55" s="52" t="s">
        <v>343</v>
      </c>
    </row>
    <row r="56" spans="1:14" ht="25" customHeight="1">
      <c r="A56" s="2"/>
      <c r="B56" s="2"/>
      <c r="C56" s="16" t="s">
        <v>397</v>
      </c>
      <c r="D56" s="3"/>
      <c r="E56" s="3"/>
      <c r="F56" s="3"/>
      <c r="G56" s="3"/>
      <c r="H56" s="29">
        <v>0</v>
      </c>
      <c r="I56" s="29">
        <v>0</v>
      </c>
      <c r="J56" s="29">
        <v>0</v>
      </c>
      <c r="K56" s="29">
        <v>0</v>
      </c>
      <c r="L56" s="29">
        <v>0</v>
      </c>
      <c r="M56" s="2"/>
      <c r="N56" s="52" t="s">
        <v>398</v>
      </c>
    </row>
    <row r="57" spans="1:14" ht="25" customHeight="1">
      <c r="A57" s="2"/>
      <c r="B57" s="2"/>
      <c r="C57" s="16" t="s">
        <v>399</v>
      </c>
      <c r="D57" s="3"/>
      <c r="E57" s="3"/>
      <c r="F57" s="3"/>
      <c r="G57" s="3"/>
      <c r="H57" s="29">
        <v>8</v>
      </c>
      <c r="I57" s="29">
        <v>8</v>
      </c>
      <c r="J57" s="29">
        <v>8</v>
      </c>
      <c r="K57" s="29">
        <v>8</v>
      </c>
      <c r="L57" s="29">
        <v>8</v>
      </c>
      <c r="M57" s="2"/>
      <c r="N57" s="52" t="s">
        <v>400</v>
      </c>
    </row>
    <row r="58" spans="1:14" ht="25" customHeight="1">
      <c r="A58" s="2"/>
      <c r="B58" s="2"/>
      <c r="C58" s="16" t="s">
        <v>401</v>
      </c>
      <c r="D58" s="3"/>
      <c r="E58" s="3"/>
      <c r="F58" s="3"/>
      <c r="G58" s="3"/>
      <c r="H58" s="29">
        <v>0</v>
      </c>
      <c r="I58" s="29">
        <v>0</v>
      </c>
      <c r="J58" s="29">
        <v>0</v>
      </c>
      <c r="K58" s="29">
        <v>0</v>
      </c>
      <c r="L58" s="29">
        <v>0</v>
      </c>
      <c r="M58" s="2"/>
      <c r="N58" s="52" t="s">
        <v>402</v>
      </c>
    </row>
    <row r="59" spans="1:14" ht="25" customHeight="1">
      <c r="A59" s="2"/>
      <c r="B59" s="2"/>
      <c r="C59" s="16" t="s">
        <v>403</v>
      </c>
      <c r="D59" s="3"/>
      <c r="E59" s="3"/>
      <c r="F59" s="3"/>
      <c r="G59" s="3"/>
      <c r="H59" s="33">
        <v>0.16800000000000001</v>
      </c>
      <c r="I59" s="33">
        <v>0.16800000000000001</v>
      </c>
      <c r="J59" s="33">
        <v>0.16800000000000001</v>
      </c>
      <c r="K59" s="33">
        <v>0.16800000000000001</v>
      </c>
      <c r="L59" s="33">
        <v>0.16800000000000001</v>
      </c>
      <c r="M59" s="2"/>
      <c r="N59" s="52" t="s">
        <v>404</v>
      </c>
    </row>
    <row r="60" spans="1:14" ht="25" customHeight="1">
      <c r="A60" s="2"/>
      <c r="B60" s="2"/>
      <c r="C60" s="16" t="s">
        <v>405</v>
      </c>
      <c r="D60" s="3"/>
      <c r="E60" s="3"/>
      <c r="F60" s="3"/>
      <c r="G60" s="3"/>
      <c r="H60" s="29">
        <v>0</v>
      </c>
      <c r="I60" s="29">
        <v>0</v>
      </c>
      <c r="J60" s="29">
        <v>0</v>
      </c>
      <c r="K60" s="29">
        <v>0</v>
      </c>
      <c r="L60" s="29">
        <v>0</v>
      </c>
      <c r="M60" s="2"/>
      <c r="N60" s="52" t="s">
        <v>406</v>
      </c>
    </row>
    <row r="61" spans="1:14" ht="25" customHeight="1">
      <c r="A61" s="2"/>
      <c r="B61" s="2"/>
      <c r="C61" s="16" t="s">
        <v>407</v>
      </c>
      <c r="D61" s="3"/>
      <c r="E61" s="3"/>
      <c r="F61" s="3"/>
      <c r="G61" s="3"/>
      <c r="H61" s="29">
        <v>0</v>
      </c>
      <c r="I61" s="29">
        <v>0</v>
      </c>
      <c r="J61" s="29">
        <v>0</v>
      </c>
      <c r="K61" s="29">
        <v>0</v>
      </c>
      <c r="L61" s="29">
        <v>0</v>
      </c>
      <c r="M61" s="2"/>
      <c r="N61" s="52" t="s">
        <v>408</v>
      </c>
    </row>
    <row r="62" spans="1:14" ht="25" customHeight="1">
      <c r="A62" s="2"/>
      <c r="B62" s="2"/>
      <c r="C62" s="16" t="s">
        <v>409</v>
      </c>
      <c r="D62" s="3"/>
      <c r="E62" s="3"/>
      <c r="F62" s="3"/>
      <c r="G62" s="3"/>
      <c r="H62" s="29">
        <v>0</v>
      </c>
      <c r="I62" s="29">
        <v>0</v>
      </c>
      <c r="J62" s="29">
        <v>0</v>
      </c>
      <c r="K62" s="29">
        <v>0</v>
      </c>
      <c r="L62" s="29">
        <v>0</v>
      </c>
      <c r="M62" s="2"/>
      <c r="N62" s="52" t="s">
        <v>410</v>
      </c>
    </row>
    <row r="63" spans="1:14" ht="25" customHeight="1">
      <c r="A63" s="2"/>
      <c r="B63" s="2"/>
      <c r="C63" s="16" t="s">
        <v>411</v>
      </c>
      <c r="D63" s="3"/>
      <c r="E63" s="3"/>
      <c r="F63" s="3"/>
      <c r="G63" s="3"/>
      <c r="H63" s="29">
        <v>30</v>
      </c>
      <c r="I63" s="29">
        <v>30</v>
      </c>
      <c r="J63" s="29">
        <v>30</v>
      </c>
      <c r="K63" s="29">
        <v>30</v>
      </c>
      <c r="L63" s="29">
        <v>30</v>
      </c>
      <c r="M63" s="2"/>
      <c r="N63" s="52" t="s">
        <v>412</v>
      </c>
    </row>
    <row r="64" spans="1:14" ht="25" customHeight="1">
      <c r="A64" s="2"/>
      <c r="B64" s="2"/>
      <c r="C64" s="16" t="s">
        <v>413</v>
      </c>
      <c r="D64" s="3"/>
      <c r="E64" s="3"/>
      <c r="F64" s="3"/>
      <c r="G64" s="3"/>
      <c r="H64" s="29">
        <v>-156</v>
      </c>
      <c r="I64" s="29">
        <v>-158</v>
      </c>
      <c r="J64" s="29">
        <v>-160</v>
      </c>
      <c r="K64" s="29">
        <v>-162</v>
      </c>
      <c r="L64" s="29">
        <v>-164</v>
      </c>
      <c r="M64" s="2"/>
      <c r="N64" s="52" t="s">
        <v>414</v>
      </c>
    </row>
    <row r="65" spans="1:14" ht="25" customHeight="1">
      <c r="A65" s="2"/>
      <c r="B65" s="2"/>
      <c r="C65" s="16" t="s">
        <v>415</v>
      </c>
      <c r="D65" s="3"/>
      <c r="E65" s="3"/>
      <c r="F65" s="3"/>
      <c r="G65" s="3"/>
      <c r="H65" s="29">
        <v>-8</v>
      </c>
      <c r="I65" s="29">
        <v>-8</v>
      </c>
      <c r="J65" s="29">
        <v>-8</v>
      </c>
      <c r="K65" s="29">
        <v>-8</v>
      </c>
      <c r="L65" s="29">
        <v>-8</v>
      </c>
      <c r="M65" s="2"/>
      <c r="N65" s="52" t="s">
        <v>416</v>
      </c>
    </row>
    <row r="66" spans="1:14" ht="25" customHeight="1">
      <c r="A66" s="2"/>
      <c r="B66" s="2"/>
      <c r="C66" s="16" t="s">
        <v>417</v>
      </c>
      <c r="D66" s="3"/>
      <c r="E66" s="3"/>
      <c r="F66" s="3"/>
      <c r="G66" s="3"/>
      <c r="H66" s="29">
        <v>0</v>
      </c>
      <c r="I66" s="29">
        <v>0</v>
      </c>
      <c r="J66" s="29">
        <v>0</v>
      </c>
      <c r="K66" s="29">
        <v>0</v>
      </c>
      <c r="L66" s="29">
        <v>0</v>
      </c>
      <c r="M66" s="2"/>
      <c r="N66" s="52" t="s">
        <v>418</v>
      </c>
    </row>
    <row r="67" spans="1:14" ht="25" customHeight="1">
      <c r="A67" s="2"/>
      <c r="B67" s="2"/>
      <c r="C67" s="16"/>
      <c r="D67" s="3"/>
      <c r="E67" s="3"/>
      <c r="F67" s="3"/>
      <c r="G67" s="3"/>
      <c r="H67" s="24"/>
      <c r="I67" s="24"/>
      <c r="J67" s="24"/>
      <c r="K67" s="24"/>
      <c r="L67" s="24"/>
      <c r="M67" s="2"/>
      <c r="N67" s="52"/>
    </row>
    <row r="68" spans="1:14" ht="25" customHeight="1">
      <c r="A68" s="2"/>
      <c r="B68" s="2"/>
      <c r="C68" s="16" t="s">
        <v>419</v>
      </c>
      <c r="D68" s="28">
        <v>639.1</v>
      </c>
      <c r="E68" s="28">
        <v>662</v>
      </c>
      <c r="F68" s="28">
        <v>734.6</v>
      </c>
      <c r="G68" s="28">
        <v>737.3</v>
      </c>
      <c r="H68" s="24">
        <f>G74</f>
        <v>733.1</v>
      </c>
      <c r="I68" s="24">
        <f>H74</f>
        <v>719.1</v>
      </c>
      <c r="J68" s="24">
        <f>I74</f>
        <v>708.1</v>
      </c>
      <c r="K68" s="24">
        <f>J74</f>
        <v>700.1</v>
      </c>
      <c r="L68" s="24">
        <f>K74</f>
        <v>695.1</v>
      </c>
      <c r="M68" s="2"/>
      <c r="N68" s="52"/>
    </row>
    <row r="69" spans="1:14" ht="25" customHeight="1">
      <c r="A69" s="2"/>
      <c r="B69" s="2"/>
      <c r="C69" s="16" t="s">
        <v>420</v>
      </c>
      <c r="D69" s="28">
        <v>58.2</v>
      </c>
      <c r="E69" s="28">
        <v>40.200000000000003</v>
      </c>
      <c r="F69" s="28">
        <v>130.80000000000001</v>
      </c>
      <c r="G69" s="28">
        <v>129</v>
      </c>
      <c r="H69" s="30">
        <f>'01 Assumptions'!H28</f>
        <v>120</v>
      </c>
      <c r="I69" s="30">
        <f>'01 Assumptions'!I28</f>
        <v>125</v>
      </c>
      <c r="J69" s="30">
        <f>'01 Assumptions'!J28</f>
        <v>130</v>
      </c>
      <c r="K69" s="30">
        <f>'01 Assumptions'!K28</f>
        <v>135</v>
      </c>
      <c r="L69" s="30">
        <f>'01 Assumptions'!L28</f>
        <v>140</v>
      </c>
      <c r="M69" s="2"/>
      <c r="N69" s="52"/>
    </row>
    <row r="70" spans="1:14" ht="25" customHeight="1">
      <c r="A70" s="2"/>
      <c r="B70" s="2"/>
      <c r="C70" s="16" t="s">
        <v>421</v>
      </c>
      <c r="D70" s="28">
        <v>0</v>
      </c>
      <c r="E70" s="28">
        <v>80.5</v>
      </c>
      <c r="F70" s="28">
        <v>0</v>
      </c>
      <c r="G70" s="28">
        <v>0</v>
      </c>
      <c r="H70" s="24">
        <f t="shared" ref="H70:L73" si="2">H62</f>
        <v>0</v>
      </c>
      <c r="I70" s="24">
        <f t="shared" si="2"/>
        <v>0</v>
      </c>
      <c r="J70" s="24">
        <f t="shared" si="2"/>
        <v>0</v>
      </c>
      <c r="K70" s="24">
        <f t="shared" si="2"/>
        <v>0</v>
      </c>
      <c r="L70" s="24">
        <f t="shared" si="2"/>
        <v>0</v>
      </c>
      <c r="M70" s="2"/>
      <c r="N70" s="52"/>
    </row>
    <row r="71" spans="1:14" ht="25" customHeight="1">
      <c r="A71" s="2"/>
      <c r="B71" s="2"/>
      <c r="C71" s="16" t="s">
        <v>422</v>
      </c>
      <c r="D71" s="28">
        <v>41.4</v>
      </c>
      <c r="E71" s="28">
        <v>68.599999999999994</v>
      </c>
      <c r="F71" s="28">
        <v>33.299999999999997</v>
      </c>
      <c r="G71" s="28">
        <v>30.7</v>
      </c>
      <c r="H71" s="24">
        <f t="shared" si="2"/>
        <v>30</v>
      </c>
      <c r="I71" s="24">
        <f t="shared" si="2"/>
        <v>30</v>
      </c>
      <c r="J71" s="24">
        <f t="shared" si="2"/>
        <v>30</v>
      </c>
      <c r="K71" s="24">
        <f t="shared" si="2"/>
        <v>30</v>
      </c>
      <c r="L71" s="24">
        <f t="shared" si="2"/>
        <v>30</v>
      </c>
      <c r="M71" s="2"/>
      <c r="N71" s="52"/>
    </row>
    <row r="72" spans="1:14" ht="25" customHeight="1">
      <c r="A72" s="2"/>
      <c r="B72" s="2"/>
      <c r="C72" s="16" t="s">
        <v>423</v>
      </c>
      <c r="D72" s="28">
        <v>-107.6</v>
      </c>
      <c r="E72" s="28">
        <v>-117.7</v>
      </c>
      <c r="F72" s="28">
        <v>-144.6</v>
      </c>
      <c r="G72" s="28">
        <v>-153.69999999999999</v>
      </c>
      <c r="H72" s="24">
        <f t="shared" si="2"/>
        <v>-156</v>
      </c>
      <c r="I72" s="24">
        <f t="shared" si="2"/>
        <v>-158</v>
      </c>
      <c r="J72" s="24">
        <f t="shared" si="2"/>
        <v>-160</v>
      </c>
      <c r="K72" s="24">
        <f t="shared" si="2"/>
        <v>-162</v>
      </c>
      <c r="L72" s="24">
        <f t="shared" si="2"/>
        <v>-164</v>
      </c>
      <c r="M72" s="2"/>
      <c r="N72" s="52"/>
    </row>
    <row r="73" spans="1:14" ht="25" customHeight="1">
      <c r="A73" s="2"/>
      <c r="B73" s="2"/>
      <c r="C73" s="16" t="s">
        <v>424</v>
      </c>
      <c r="D73" s="28">
        <v>30.9</v>
      </c>
      <c r="E73" s="28">
        <v>0.9</v>
      </c>
      <c r="F73" s="28">
        <v>-16.8</v>
      </c>
      <c r="G73" s="28">
        <v>-10.199999999999999</v>
      </c>
      <c r="H73" s="24">
        <f t="shared" si="2"/>
        <v>-8</v>
      </c>
      <c r="I73" s="24">
        <f t="shared" si="2"/>
        <v>-8</v>
      </c>
      <c r="J73" s="24">
        <f t="shared" si="2"/>
        <v>-8</v>
      </c>
      <c r="K73" s="24">
        <f t="shared" si="2"/>
        <v>-8</v>
      </c>
      <c r="L73" s="24">
        <f t="shared" si="2"/>
        <v>-8</v>
      </c>
      <c r="M73" s="2"/>
      <c r="N73" s="52"/>
    </row>
    <row r="74" spans="1:14" ht="25" customHeight="1">
      <c r="A74" s="2"/>
      <c r="B74" s="2"/>
      <c r="C74" s="16" t="s">
        <v>425</v>
      </c>
      <c r="D74" s="28">
        <v>662</v>
      </c>
      <c r="E74" s="28">
        <v>734.6</v>
      </c>
      <c r="F74" s="28">
        <v>737.3</v>
      </c>
      <c r="G74" s="28">
        <v>733.1</v>
      </c>
      <c r="H74" s="24">
        <f>SUM(H68:H73)</f>
        <v>719.1</v>
      </c>
      <c r="I74" s="24">
        <f>SUM(I68:I73)</f>
        <v>708.1</v>
      </c>
      <c r="J74" s="24">
        <f>SUM(J68:J73)</f>
        <v>700.1</v>
      </c>
      <c r="K74" s="24">
        <f>SUM(K68:K73)</f>
        <v>695.1</v>
      </c>
      <c r="L74" s="24">
        <f>SUM(L68:L73)</f>
        <v>693.1</v>
      </c>
      <c r="M74" s="2"/>
      <c r="N74" s="52"/>
    </row>
    <row r="75" spans="1:14" ht="25" customHeight="1">
      <c r="A75" s="2"/>
      <c r="B75" s="2"/>
      <c r="C75" s="16"/>
      <c r="D75" s="3"/>
      <c r="E75" s="3"/>
      <c r="F75" s="3"/>
      <c r="G75" s="3"/>
      <c r="H75" s="24"/>
      <c r="I75" s="24"/>
      <c r="J75" s="24"/>
      <c r="K75" s="24"/>
      <c r="L75" s="24"/>
      <c r="M75" s="2"/>
      <c r="N75" s="52"/>
    </row>
    <row r="76" spans="1:14" ht="25" customHeight="1">
      <c r="A76" s="2"/>
      <c r="B76" s="2"/>
      <c r="C76" s="16" t="s">
        <v>426</v>
      </c>
      <c r="D76" s="28">
        <v>1057.5</v>
      </c>
      <c r="E76" s="28">
        <v>1023.3</v>
      </c>
      <c r="F76" s="28">
        <v>1037.7</v>
      </c>
      <c r="G76" s="28">
        <v>1014.4</v>
      </c>
      <c r="H76" s="30">
        <f>-('02 Model'!G60+'02 Model'!G68)</f>
        <v>999.80000000000007</v>
      </c>
      <c r="I76" s="24">
        <f>H85</f>
        <v>971.78900000000021</v>
      </c>
      <c r="J76" s="24">
        <f>I85</f>
        <v>940.29381700000022</v>
      </c>
      <c r="K76" s="24">
        <f>J85</f>
        <v>905.24880166700018</v>
      </c>
      <c r="L76" s="24">
        <f>K85</f>
        <v>867.51124175035011</v>
      </c>
      <c r="M76" s="2"/>
      <c r="N76" s="52"/>
    </row>
    <row r="77" spans="1:14" ht="25" customHeight="1">
      <c r="A77" s="2"/>
      <c r="B77" s="2"/>
      <c r="C77" s="16" t="s">
        <v>427</v>
      </c>
      <c r="D77" s="28">
        <v>84.2</v>
      </c>
      <c r="E77" s="28">
        <v>40.1</v>
      </c>
      <c r="F77" s="28">
        <v>131.9</v>
      </c>
      <c r="G77" s="28">
        <v>129.30000000000001</v>
      </c>
      <c r="H77" s="30">
        <f>'01 Assumptions'!H28</f>
        <v>120</v>
      </c>
      <c r="I77" s="30">
        <f>'01 Assumptions'!I28</f>
        <v>125</v>
      </c>
      <c r="J77" s="30">
        <f>'01 Assumptions'!J28</f>
        <v>130</v>
      </c>
      <c r="K77" s="30">
        <f>'01 Assumptions'!K28</f>
        <v>135</v>
      </c>
      <c r="L77" s="30">
        <f>'01 Assumptions'!L28</f>
        <v>140</v>
      </c>
      <c r="M77" s="2"/>
      <c r="N77" s="52"/>
    </row>
    <row r="78" spans="1:14" ht="25" customHeight="1">
      <c r="A78" s="2"/>
      <c r="B78" s="2"/>
      <c r="C78" s="16" t="s">
        <v>421</v>
      </c>
      <c r="D78" s="28">
        <v>0</v>
      </c>
      <c r="E78" s="28">
        <v>84.7</v>
      </c>
      <c r="F78" s="28">
        <v>0</v>
      </c>
      <c r="G78" s="28">
        <v>0</v>
      </c>
      <c r="H78" s="24">
        <f>H56</f>
        <v>0</v>
      </c>
      <c r="I78" s="24">
        <f>I56</f>
        <v>0</v>
      </c>
      <c r="J78" s="24">
        <f>J56</f>
        <v>0</v>
      </c>
      <c r="K78" s="24">
        <f>K56</f>
        <v>0</v>
      </c>
      <c r="L78" s="24">
        <f>L56</f>
        <v>0</v>
      </c>
      <c r="M78" s="2"/>
      <c r="N78" s="52"/>
    </row>
    <row r="79" spans="1:14" ht="25" customHeight="1">
      <c r="A79" s="2"/>
      <c r="B79" s="2"/>
      <c r="C79" s="16" t="s">
        <v>422</v>
      </c>
      <c r="D79" s="28">
        <v>41.5</v>
      </c>
      <c r="E79" s="28">
        <v>52.9</v>
      </c>
      <c r="F79" s="28">
        <v>32.9</v>
      </c>
      <c r="G79" s="28">
        <v>31.3</v>
      </c>
      <c r="H79" s="24">
        <f>H63</f>
        <v>30</v>
      </c>
      <c r="I79" s="24">
        <f>I63</f>
        <v>30</v>
      </c>
      <c r="J79" s="24">
        <f>J63</f>
        <v>30</v>
      </c>
      <c r="K79" s="24">
        <f>K63</f>
        <v>30</v>
      </c>
      <c r="L79" s="24">
        <f>L63</f>
        <v>30</v>
      </c>
      <c r="M79" s="2"/>
      <c r="N79" s="52"/>
    </row>
    <row r="80" spans="1:14" ht="25" customHeight="1">
      <c r="A80" s="2"/>
      <c r="B80" s="2"/>
      <c r="C80" s="16" t="s">
        <v>428</v>
      </c>
      <c r="D80" s="28">
        <v>47.3</v>
      </c>
      <c r="E80" s="28">
        <v>47.9</v>
      </c>
      <c r="F80" s="28">
        <v>54.8</v>
      </c>
      <c r="G80" s="28">
        <v>55.6</v>
      </c>
      <c r="H80" s="24">
        <f>H76*H81</f>
        <v>54.989000000000004</v>
      </c>
      <c r="I80" s="24">
        <f>I76*I81</f>
        <v>51.50481700000001</v>
      </c>
      <c r="J80" s="24">
        <f>J76*J81</f>
        <v>47.954984667000005</v>
      </c>
      <c r="K80" s="24">
        <f>K76*K81</f>
        <v>45.262440083350015</v>
      </c>
      <c r="L80" s="24">
        <f>L76*L81</f>
        <v>43.375562087517508</v>
      </c>
      <c r="M80" s="2"/>
      <c r="N80" s="52"/>
    </row>
    <row r="81" spans="1:14" ht="25" customHeight="1">
      <c r="A81" s="2"/>
      <c r="B81" s="2"/>
      <c r="C81" s="16" t="s">
        <v>429</v>
      </c>
      <c r="D81" s="35">
        <v>4.4728132387706857E-2</v>
      </c>
      <c r="E81" s="35">
        <v>4.6809342323854197E-2</v>
      </c>
      <c r="F81" s="35">
        <v>5.2809097041534157E-2</v>
      </c>
      <c r="G81" s="35">
        <v>5.4810725552050472E-2</v>
      </c>
      <c r="H81" s="36">
        <f>'01 Assumptions'!H30</f>
        <v>5.5E-2</v>
      </c>
      <c r="I81" s="36">
        <f>'01 Assumptions'!I30</f>
        <v>5.2999999999999999E-2</v>
      </c>
      <c r="J81" s="36">
        <f>'01 Assumptions'!J30</f>
        <v>5.0999999999999997E-2</v>
      </c>
      <c r="K81" s="36">
        <f>'01 Assumptions'!K30</f>
        <v>0.05</v>
      </c>
      <c r="L81" s="36">
        <f>'01 Assumptions'!L30</f>
        <v>0.05</v>
      </c>
      <c r="M81" s="2"/>
      <c r="N81" s="52"/>
    </row>
    <row r="82" spans="1:14" ht="25" customHeight="1">
      <c r="A82" s="2"/>
      <c r="B82" s="2"/>
      <c r="C82" s="16" t="s">
        <v>313</v>
      </c>
      <c r="D82" s="28">
        <v>-204.4</v>
      </c>
      <c r="E82" s="28">
        <v>-204</v>
      </c>
      <c r="F82" s="28">
        <v>-219.4</v>
      </c>
      <c r="G82" s="28">
        <v>-223</v>
      </c>
      <c r="H82" s="30">
        <f>-'01 Assumptions'!H29</f>
        <v>-225</v>
      </c>
      <c r="I82" s="30">
        <f>-'01 Assumptions'!I29</f>
        <v>-230</v>
      </c>
      <c r="J82" s="30">
        <f>-'01 Assumptions'!J29</f>
        <v>-235</v>
      </c>
      <c r="K82" s="30">
        <f>-'01 Assumptions'!K29</f>
        <v>-240</v>
      </c>
      <c r="L82" s="30">
        <f>-'01 Assumptions'!L29</f>
        <v>-245</v>
      </c>
      <c r="M82" s="2"/>
      <c r="N82" s="52"/>
    </row>
    <row r="83" spans="1:14" ht="25" customHeight="1">
      <c r="A83" s="2"/>
      <c r="B83" s="2"/>
      <c r="C83" s="16" t="s">
        <v>430</v>
      </c>
      <c r="D83" s="28">
        <v>-5.5</v>
      </c>
      <c r="E83" s="28">
        <v>-6.3</v>
      </c>
      <c r="F83" s="28">
        <v>-23.1</v>
      </c>
      <c r="G83" s="28">
        <v>-8</v>
      </c>
      <c r="H83" s="24">
        <f>-H57</f>
        <v>-8</v>
      </c>
      <c r="I83" s="24">
        <f>-I57</f>
        <v>-8</v>
      </c>
      <c r="J83" s="24">
        <f>-J57</f>
        <v>-8</v>
      </c>
      <c r="K83" s="24">
        <f>-K57</f>
        <v>-8</v>
      </c>
      <c r="L83" s="24">
        <f>-L57</f>
        <v>-8</v>
      </c>
      <c r="M83" s="2"/>
      <c r="N83" s="52"/>
    </row>
    <row r="84" spans="1:14" ht="25" customHeight="1">
      <c r="A84" s="2"/>
      <c r="B84" s="2"/>
      <c r="C84" s="16" t="s">
        <v>431</v>
      </c>
      <c r="D84" s="28">
        <v>2.7</v>
      </c>
      <c r="E84" s="28">
        <v>-0.9</v>
      </c>
      <c r="F84" s="28">
        <v>-0.4</v>
      </c>
      <c r="G84" s="28">
        <v>0.2</v>
      </c>
      <c r="H84" s="24">
        <f>H58</f>
        <v>0</v>
      </c>
      <c r="I84" s="24">
        <f>I58</f>
        <v>0</v>
      </c>
      <c r="J84" s="24">
        <f>J58</f>
        <v>0</v>
      </c>
      <c r="K84" s="24">
        <f>K58</f>
        <v>0</v>
      </c>
      <c r="L84" s="24">
        <f>L58</f>
        <v>0</v>
      </c>
      <c r="M84" s="2"/>
      <c r="N84" s="52"/>
    </row>
    <row r="85" spans="1:14" ht="25" customHeight="1">
      <c r="A85" s="2"/>
      <c r="B85" s="2"/>
      <c r="C85" s="16" t="s">
        <v>432</v>
      </c>
      <c r="D85" s="28">
        <v>1023.3447281323877</v>
      </c>
      <c r="E85" s="28">
        <v>1037.7468093423238</v>
      </c>
      <c r="F85" s="28">
        <v>1014.4528090970416</v>
      </c>
      <c r="G85" s="28">
        <v>999.85481072555194</v>
      </c>
      <c r="H85" s="24">
        <f>SUM(H76:H80,H82:H84)</f>
        <v>971.78900000000021</v>
      </c>
      <c r="I85" s="24">
        <f>SUM(I76:I80,I82:I84)</f>
        <v>940.29381700000022</v>
      </c>
      <c r="J85" s="24">
        <f>SUM(J76:J80,J82:J84)</f>
        <v>905.24880166700018</v>
      </c>
      <c r="K85" s="24">
        <f>SUM(K76:K80,K82:K84)</f>
        <v>867.51124175035011</v>
      </c>
      <c r="L85" s="24">
        <f>SUM(L76:L80,L82:L84)</f>
        <v>827.88680383786755</v>
      </c>
      <c r="M85" s="2"/>
      <c r="N85" s="52"/>
    </row>
    <row r="86" spans="1:14" ht="25" customHeight="1">
      <c r="A86" s="2"/>
      <c r="B86" s="2"/>
      <c r="C86" s="16"/>
      <c r="D86" s="3"/>
      <c r="E86" s="3"/>
      <c r="F86" s="3"/>
      <c r="G86" s="3"/>
      <c r="H86" s="24"/>
      <c r="I86" s="24"/>
      <c r="J86" s="24"/>
      <c r="K86" s="24"/>
      <c r="L86" s="24"/>
      <c r="M86" s="2"/>
      <c r="N86" s="52"/>
    </row>
    <row r="87" spans="1:14" ht="25" customHeight="1">
      <c r="A87" s="2"/>
      <c r="B87" s="2"/>
      <c r="C87" s="16" t="s">
        <v>433</v>
      </c>
      <c r="D87" s="28">
        <v>146.19999999999999</v>
      </c>
      <c r="E87" s="28">
        <v>167.8</v>
      </c>
      <c r="F87" s="28">
        <v>170.8</v>
      </c>
      <c r="G87" s="28">
        <v>168.1</v>
      </c>
      <c r="H87" s="24">
        <f>H85*H59</f>
        <v>163.26055200000005</v>
      </c>
      <c r="I87" s="24">
        <f>I85*I59</f>
        <v>157.96936125600004</v>
      </c>
      <c r="J87" s="24">
        <f>J85*J59</f>
        <v>152.08179868005604</v>
      </c>
      <c r="K87" s="24">
        <f>K85*K59</f>
        <v>145.74188861405884</v>
      </c>
      <c r="L87" s="24">
        <f>L85*L59</f>
        <v>139.08498304476177</v>
      </c>
      <c r="M87" s="2"/>
      <c r="N87" s="52"/>
    </row>
    <row r="88" spans="1:14" ht="25" customHeight="1">
      <c r="A88" s="2"/>
      <c r="B88" s="2"/>
      <c r="C88" s="16" t="s">
        <v>434</v>
      </c>
      <c r="D88" s="28">
        <v>877.1</v>
      </c>
      <c r="E88" s="28">
        <v>869.9</v>
      </c>
      <c r="F88" s="28">
        <v>843.6</v>
      </c>
      <c r="G88" s="28">
        <v>831.7</v>
      </c>
      <c r="H88" s="24">
        <f>H85-H87</f>
        <v>808.52844800000014</v>
      </c>
      <c r="I88" s="24">
        <f>I85-I87</f>
        <v>782.32445574400015</v>
      </c>
      <c r="J88" s="24">
        <f>J85-J87</f>
        <v>753.16700298694411</v>
      </c>
      <c r="K88" s="24">
        <f>K85-K87</f>
        <v>721.76935313629133</v>
      </c>
      <c r="L88" s="24">
        <f>L85-L87</f>
        <v>688.80182079310578</v>
      </c>
      <c r="M88" s="2"/>
      <c r="N88" s="52"/>
    </row>
    <row r="89" spans="1:14" ht="25" customHeight="1">
      <c r="A89" s="2"/>
      <c r="B89" s="2"/>
      <c r="C89" s="16" t="s">
        <v>435</v>
      </c>
      <c r="D89" s="35">
        <v>0.14286485871365767</v>
      </c>
      <c r="E89" s="35">
        <v>0.16169647402370135</v>
      </c>
      <c r="F89" s="35">
        <v>0.16836662924914966</v>
      </c>
      <c r="G89" s="35">
        <v>0.16812440986108473</v>
      </c>
      <c r="H89" s="25">
        <f>H59</f>
        <v>0.16800000000000001</v>
      </c>
      <c r="I89" s="25">
        <f>I59</f>
        <v>0.16800000000000001</v>
      </c>
      <c r="J89" s="25">
        <f>J59</f>
        <v>0.16800000000000001</v>
      </c>
      <c r="K89" s="25">
        <f>K59</f>
        <v>0.16800000000000001</v>
      </c>
      <c r="L89" s="25">
        <f>L59</f>
        <v>0.16800000000000001</v>
      </c>
      <c r="M89" s="2"/>
      <c r="N89" s="52"/>
    </row>
    <row r="90" spans="1:14" ht="25" customHeight="1">
      <c r="A90" s="2"/>
      <c r="B90" s="2"/>
      <c r="C90" s="16" t="s">
        <v>436</v>
      </c>
      <c r="D90" s="28">
        <v>0</v>
      </c>
      <c r="E90" s="28">
        <v>0</v>
      </c>
      <c r="F90" s="28">
        <v>0</v>
      </c>
      <c r="G90" s="28">
        <v>0</v>
      </c>
      <c r="H90" s="24">
        <f>H85-H87-H88</f>
        <v>0</v>
      </c>
      <c r="I90" s="24">
        <f>I85-I87-I88</f>
        <v>0</v>
      </c>
      <c r="J90" s="24">
        <f>J85-J87-J88</f>
        <v>0</v>
      </c>
      <c r="K90" s="24">
        <f>K85-K87-K88</f>
        <v>0</v>
      </c>
      <c r="L90" s="24">
        <f>L85-L87-L88</f>
        <v>0</v>
      </c>
      <c r="M90" s="2"/>
      <c r="N90" s="52"/>
    </row>
    <row r="91" spans="1:14" ht="25" customHeight="1">
      <c r="A91" s="2"/>
      <c r="B91" s="2"/>
      <c r="C91" s="16"/>
      <c r="D91" s="3"/>
      <c r="E91" s="3"/>
      <c r="F91" s="3"/>
      <c r="G91" s="3"/>
      <c r="H91" s="24"/>
      <c r="I91" s="24"/>
      <c r="J91" s="24"/>
      <c r="K91" s="24"/>
      <c r="L91" s="24"/>
      <c r="M91" s="2"/>
      <c r="N91" s="52"/>
    </row>
    <row r="92" spans="1:14" ht="25" customHeight="1">
      <c r="A92" s="2"/>
      <c r="B92" s="2"/>
      <c r="C92" s="16"/>
      <c r="D92" s="3"/>
      <c r="E92" s="3"/>
      <c r="F92" s="3"/>
      <c r="G92" s="3"/>
      <c r="H92" s="24"/>
      <c r="I92" s="24"/>
      <c r="J92" s="24"/>
      <c r="K92" s="24"/>
      <c r="L92" s="24"/>
      <c r="M92" s="2"/>
      <c r="N92" s="52"/>
    </row>
    <row r="93" spans="1:14" ht="25" customHeight="1">
      <c r="A93" s="2"/>
      <c r="B93" s="2"/>
      <c r="C93" s="16"/>
      <c r="D93" s="3"/>
      <c r="E93" s="3"/>
      <c r="F93" s="3"/>
      <c r="G93" s="3"/>
      <c r="H93" s="24"/>
      <c r="I93" s="24"/>
      <c r="J93" s="24"/>
      <c r="K93" s="24"/>
      <c r="L93" s="24"/>
      <c r="M93" s="2"/>
      <c r="N93" s="52"/>
    </row>
    <row r="94" spans="1:14" ht="25" customHeight="1">
      <c r="A94" s="2"/>
      <c r="B94" s="2"/>
      <c r="C94" s="16"/>
      <c r="D94" s="3"/>
      <c r="E94" s="3"/>
      <c r="F94" s="3"/>
      <c r="G94" s="3"/>
      <c r="H94" s="24"/>
      <c r="I94" s="24"/>
      <c r="J94" s="24"/>
      <c r="K94" s="24"/>
      <c r="L94" s="24"/>
      <c r="M94" s="2"/>
      <c r="N94" s="52"/>
    </row>
    <row r="95" spans="1:14" ht="25" customHeight="1">
      <c r="A95" s="2"/>
      <c r="B95" s="2"/>
      <c r="C95" s="41" t="s">
        <v>437</v>
      </c>
      <c r="D95" s="7"/>
      <c r="E95" s="7"/>
      <c r="F95" s="7"/>
      <c r="G95" s="7"/>
      <c r="H95" s="7"/>
      <c r="I95" s="7"/>
      <c r="J95" s="7"/>
      <c r="K95" s="7"/>
      <c r="L95" s="7"/>
      <c r="M95" s="2"/>
      <c r="N95" s="52" t="s">
        <v>343</v>
      </c>
    </row>
    <row r="96" spans="1:14" ht="25" customHeight="1">
      <c r="A96" s="2"/>
      <c r="B96" s="2"/>
      <c r="C96" s="16" t="s">
        <v>438</v>
      </c>
      <c r="D96" s="3"/>
      <c r="E96" s="3"/>
      <c r="F96" s="3"/>
      <c r="G96" s="3"/>
      <c r="H96" s="29">
        <v>32</v>
      </c>
      <c r="I96" s="29">
        <v>34</v>
      </c>
      <c r="J96" s="29">
        <v>36</v>
      </c>
      <c r="K96" s="29">
        <v>38</v>
      </c>
      <c r="L96" s="29">
        <v>40</v>
      </c>
      <c r="M96" s="2"/>
      <c r="N96" s="52" t="s">
        <v>439</v>
      </c>
    </row>
    <row r="97" spans="1:14" ht="25" customHeight="1">
      <c r="A97" s="2"/>
      <c r="B97" s="2"/>
      <c r="C97" s="16" t="s">
        <v>440</v>
      </c>
      <c r="D97" s="3"/>
      <c r="E97" s="3"/>
      <c r="F97" s="3"/>
      <c r="G97" s="3"/>
      <c r="H97" s="29">
        <v>120</v>
      </c>
      <c r="I97" s="29">
        <v>125</v>
      </c>
      <c r="J97" s="29">
        <v>130</v>
      </c>
      <c r="K97" s="29">
        <v>135</v>
      </c>
      <c r="L97" s="29">
        <v>140</v>
      </c>
      <c r="M97" s="2"/>
      <c r="N97" s="52" t="s">
        <v>441</v>
      </c>
    </row>
    <row r="98" spans="1:14" ht="25" customHeight="1">
      <c r="A98" s="2"/>
      <c r="B98" s="2"/>
      <c r="C98" s="16" t="s">
        <v>442</v>
      </c>
      <c r="D98" s="3"/>
      <c r="E98" s="3"/>
      <c r="F98" s="3"/>
      <c r="G98" s="3"/>
      <c r="H98" s="29">
        <v>0.2</v>
      </c>
      <c r="I98" s="29">
        <v>0.2</v>
      </c>
      <c r="J98" s="29">
        <v>0.2</v>
      </c>
      <c r="K98" s="29">
        <v>0.2</v>
      </c>
      <c r="L98" s="29">
        <v>0.2</v>
      </c>
      <c r="M98" s="2"/>
      <c r="N98" s="52" t="s">
        <v>443</v>
      </c>
    </row>
    <row r="99" spans="1:14" ht="25" customHeight="1">
      <c r="A99" s="2"/>
      <c r="B99" s="2"/>
      <c r="C99" s="16" t="s">
        <v>444</v>
      </c>
      <c r="D99" s="3"/>
      <c r="E99" s="3"/>
      <c r="F99" s="3"/>
      <c r="G99" s="3"/>
      <c r="H99" s="33">
        <v>1.7000000000000001E-2</v>
      </c>
      <c r="I99" s="33">
        <v>1.7000000000000001E-2</v>
      </c>
      <c r="J99" s="33">
        <v>1.7000000000000001E-2</v>
      </c>
      <c r="K99" s="33">
        <v>1.7000000000000001E-2</v>
      </c>
      <c r="L99" s="33">
        <v>1.7000000000000001E-2</v>
      </c>
      <c r="M99" s="2"/>
      <c r="N99" s="52" t="s">
        <v>445</v>
      </c>
    </row>
    <row r="100" spans="1:14" ht="25" customHeight="1">
      <c r="A100" s="2"/>
      <c r="B100" s="2"/>
      <c r="C100" s="16" t="s">
        <v>446</v>
      </c>
      <c r="D100" s="3"/>
      <c r="E100" s="3"/>
      <c r="F100" s="3"/>
      <c r="G100" s="3"/>
      <c r="H100" s="33">
        <v>8.9999999999999993E-3</v>
      </c>
      <c r="I100" s="33">
        <v>8.9999999999999993E-3</v>
      </c>
      <c r="J100" s="33">
        <v>8.9999999999999993E-3</v>
      </c>
      <c r="K100" s="33">
        <v>8.9999999999999993E-3</v>
      </c>
      <c r="L100" s="33">
        <v>8.9999999999999993E-3</v>
      </c>
      <c r="M100" s="2"/>
      <c r="N100" s="52" t="s">
        <v>447</v>
      </c>
    </row>
    <row r="101" spans="1:14" ht="25" customHeight="1">
      <c r="A101" s="2"/>
      <c r="B101" s="2"/>
      <c r="C101" s="16" t="s">
        <v>448</v>
      </c>
      <c r="D101" s="3"/>
      <c r="E101" s="3"/>
      <c r="F101" s="3"/>
      <c r="G101" s="3"/>
      <c r="H101" s="29">
        <v>3</v>
      </c>
      <c r="I101" s="29">
        <v>3</v>
      </c>
      <c r="J101" s="29">
        <v>3</v>
      </c>
      <c r="K101" s="29">
        <v>3</v>
      </c>
      <c r="L101" s="29">
        <v>3</v>
      </c>
      <c r="M101" s="2"/>
      <c r="N101" s="52" t="s">
        <v>449</v>
      </c>
    </row>
    <row r="102" spans="1:14" ht="25" customHeight="1">
      <c r="A102" s="2"/>
      <c r="B102" s="2"/>
      <c r="C102" s="16" t="s">
        <v>450</v>
      </c>
      <c r="D102" s="3"/>
      <c r="E102" s="3"/>
      <c r="F102" s="3"/>
      <c r="G102" s="3"/>
      <c r="H102" s="29">
        <v>57</v>
      </c>
      <c r="I102" s="29">
        <v>60</v>
      </c>
      <c r="J102" s="29">
        <v>64</v>
      </c>
      <c r="K102" s="29">
        <v>67</v>
      </c>
      <c r="L102" s="29">
        <v>70</v>
      </c>
      <c r="M102" s="2"/>
      <c r="N102" s="52" t="s">
        <v>451</v>
      </c>
    </row>
    <row r="103" spans="1:14" ht="25" customHeight="1">
      <c r="A103" s="2"/>
      <c r="B103" s="2"/>
      <c r="C103" s="16" t="s">
        <v>452</v>
      </c>
      <c r="D103" s="3"/>
      <c r="E103" s="3"/>
      <c r="F103" s="3"/>
      <c r="G103" s="3"/>
      <c r="H103" s="29">
        <v>1351</v>
      </c>
      <c r="I103" s="30">
        <f>H103*(1+'01 Assumptions'!I19)</f>
        <v>1378.02</v>
      </c>
      <c r="J103" s="30">
        <f>I103*(1+'01 Assumptions'!J19)</f>
        <v>1405.5804000000001</v>
      </c>
      <c r="K103" s="30">
        <f>J103*(1+'01 Assumptions'!K19)</f>
        <v>1433.692008</v>
      </c>
      <c r="L103" s="30">
        <f>K103*(1+'01 Assumptions'!L19)</f>
        <v>1462.36584816</v>
      </c>
      <c r="M103" s="2"/>
      <c r="N103" s="52" t="s">
        <v>453</v>
      </c>
    </row>
    <row r="104" spans="1:14" ht="25" customHeight="1">
      <c r="A104" s="2"/>
      <c r="B104" s="2"/>
      <c r="C104" s="16" t="s">
        <v>454</v>
      </c>
      <c r="D104" s="3"/>
      <c r="E104" s="3"/>
      <c r="F104" s="3"/>
      <c r="G104" s="3"/>
      <c r="H104" s="29">
        <v>140</v>
      </c>
      <c r="I104" s="29">
        <v>149</v>
      </c>
      <c r="J104" s="29">
        <v>158</v>
      </c>
      <c r="K104" s="29">
        <v>167</v>
      </c>
      <c r="L104" s="29">
        <v>175</v>
      </c>
      <c r="M104" s="2"/>
      <c r="N104" s="52" t="s">
        <v>455</v>
      </c>
    </row>
    <row r="105" spans="1:14" ht="25" customHeight="1">
      <c r="A105" s="2"/>
      <c r="B105" s="2"/>
      <c r="C105" s="16"/>
      <c r="D105" s="3"/>
      <c r="E105" s="3"/>
      <c r="F105" s="3"/>
      <c r="G105" s="3"/>
      <c r="H105" s="24"/>
      <c r="I105" s="24"/>
      <c r="J105" s="24"/>
      <c r="K105" s="24"/>
      <c r="L105" s="24"/>
      <c r="M105" s="2"/>
      <c r="N105" s="52"/>
    </row>
    <row r="106" spans="1:14" ht="25" customHeight="1">
      <c r="A106" s="2"/>
      <c r="B106" s="2"/>
      <c r="C106" s="16" t="s">
        <v>456</v>
      </c>
      <c r="D106" s="28">
        <v>633</v>
      </c>
      <c r="E106" s="28">
        <v>662.2</v>
      </c>
      <c r="F106" s="28">
        <v>769</v>
      </c>
      <c r="G106" s="28">
        <v>865.2</v>
      </c>
      <c r="H106" s="24">
        <f>G107</f>
        <v>949.5</v>
      </c>
      <c r="I106" s="24">
        <f>H107</f>
        <v>957.55631310684976</v>
      </c>
      <c r="J106" s="24">
        <f>I107</f>
        <v>1067.5526062404388</v>
      </c>
      <c r="K106" s="24">
        <f>J107</f>
        <v>1072.7661386349491</v>
      </c>
      <c r="L106" s="24">
        <f>K107</f>
        <v>1178.5888201964071</v>
      </c>
      <c r="M106" s="2"/>
      <c r="N106" s="52"/>
    </row>
    <row r="107" spans="1:14" ht="25" customHeight="1">
      <c r="A107" s="2"/>
      <c r="B107" s="2"/>
      <c r="C107" s="16" t="s">
        <v>457</v>
      </c>
      <c r="D107" s="28">
        <v>662.2</v>
      </c>
      <c r="E107" s="28">
        <v>769</v>
      </c>
      <c r="F107" s="28">
        <v>865.2</v>
      </c>
      <c r="G107" s="28">
        <v>949.5</v>
      </c>
      <c r="H107" s="24">
        <f>2*H108-H106</f>
        <v>957.55631310684976</v>
      </c>
      <c r="I107" s="24">
        <f>2*I108-I106</f>
        <v>1067.5526062404388</v>
      </c>
      <c r="J107" s="24">
        <f>2*J108-J106</f>
        <v>1072.7661386349491</v>
      </c>
      <c r="K107" s="24">
        <f>2*K108-K106</f>
        <v>1178.5888201964071</v>
      </c>
      <c r="L107" s="24">
        <f>2*L108-L106</f>
        <v>1174.0771117823601</v>
      </c>
      <c r="M107" s="2"/>
      <c r="N107" s="52"/>
    </row>
    <row r="108" spans="1:14" ht="25" customHeight="1">
      <c r="A108" s="2"/>
      <c r="B108" s="2"/>
      <c r="C108" s="16" t="s">
        <v>458</v>
      </c>
      <c r="D108" s="28">
        <v>647.6</v>
      </c>
      <c r="E108" s="28">
        <v>715.6</v>
      </c>
      <c r="F108" s="28">
        <v>817.1</v>
      </c>
      <c r="G108" s="28">
        <v>907.35</v>
      </c>
      <c r="H108" s="24">
        <f>H109*H110/H429</f>
        <v>953.52815655342488</v>
      </c>
      <c r="I108" s="24">
        <f>I109*I110/I429</f>
        <v>1012.5544596736443</v>
      </c>
      <c r="J108" s="24">
        <f>J109*J110/J429</f>
        <v>1070.1593724376939</v>
      </c>
      <c r="K108" s="24">
        <f>K109*K110/K429</f>
        <v>1125.6774794156781</v>
      </c>
      <c r="L108" s="24">
        <f>L109*L110/L429</f>
        <v>1176.3329659893836</v>
      </c>
      <c r="M108" s="2"/>
      <c r="N108" s="52"/>
    </row>
    <row r="109" spans="1:14" ht="25" customHeight="1">
      <c r="A109" s="2"/>
      <c r="B109" s="2"/>
      <c r="C109" s="16" t="s">
        <v>459</v>
      </c>
      <c r="D109" s="28">
        <v>2827.7</v>
      </c>
      <c r="E109" s="28">
        <v>3034.5</v>
      </c>
      <c r="F109" s="28">
        <v>3456.5</v>
      </c>
      <c r="G109" s="28">
        <v>3847.5</v>
      </c>
      <c r="H109" s="24">
        <f>-H364</f>
        <v>4046.9508970000011</v>
      </c>
      <c r="I109" s="24">
        <f>-I364</f>
        <v>4297.4695090800014</v>
      </c>
      <c r="J109" s="24">
        <f>-J364</f>
        <v>4541.9554760437013</v>
      </c>
      <c r="K109" s="24">
        <f>-K364</f>
        <v>4777.5846510084011</v>
      </c>
      <c r="L109" s="24">
        <f>-L364</f>
        <v>4992.5759603037795</v>
      </c>
      <c r="M109" s="2"/>
      <c r="N109" s="52"/>
    </row>
    <row r="110" spans="1:14" ht="25" customHeight="1">
      <c r="A110" s="2"/>
      <c r="B110" s="2"/>
      <c r="C110" s="16" t="s">
        <v>67</v>
      </c>
      <c r="D110" s="37">
        <v>83.592318845704995</v>
      </c>
      <c r="E110" s="37">
        <v>86.074806393145494</v>
      </c>
      <c r="F110" s="37">
        <v>86.284247070736285</v>
      </c>
      <c r="G110" s="37">
        <v>86.077387914230016</v>
      </c>
      <c r="H110" s="38">
        <f>'01 Assumptions'!H17</f>
        <v>86</v>
      </c>
      <c r="I110" s="38">
        <f>'01 Assumptions'!I17</f>
        <v>86</v>
      </c>
      <c r="J110" s="38">
        <f>'01 Assumptions'!J17</f>
        <v>86</v>
      </c>
      <c r="K110" s="38">
        <f>'01 Assumptions'!K17</f>
        <v>86</v>
      </c>
      <c r="L110" s="38">
        <f>'01 Assumptions'!L17</f>
        <v>86</v>
      </c>
      <c r="M110" s="2"/>
      <c r="N110" s="52"/>
    </row>
    <row r="111" spans="1:14" ht="25" customHeight="1">
      <c r="A111" s="2"/>
      <c r="B111" s="2"/>
      <c r="C111" s="16"/>
      <c r="D111" s="3"/>
      <c r="E111" s="3"/>
      <c r="F111" s="3"/>
      <c r="G111" s="3"/>
      <c r="H111" s="24"/>
      <c r="I111" s="24"/>
      <c r="J111" s="24"/>
      <c r="K111" s="24"/>
      <c r="L111" s="24"/>
      <c r="M111" s="2"/>
      <c r="N111" s="52"/>
    </row>
    <row r="112" spans="1:14" ht="25" customHeight="1">
      <c r="A112" s="2"/>
      <c r="B112" s="2"/>
      <c r="C112" s="16" t="s">
        <v>460</v>
      </c>
      <c r="D112" s="28">
        <v>1280.9000000000001</v>
      </c>
      <c r="E112" s="28">
        <v>1425.5</v>
      </c>
      <c r="F112" s="28">
        <v>1452.8</v>
      </c>
      <c r="G112" s="28">
        <v>1508.4</v>
      </c>
      <c r="H112" s="24">
        <f>G118</f>
        <v>1660.6</v>
      </c>
      <c r="I112" s="24">
        <f>H118</f>
        <v>1647.9218310000001</v>
      </c>
      <c r="J112" s="24">
        <f>I118</f>
        <v>1691.73714086</v>
      </c>
      <c r="K112" s="24">
        <f>J118</f>
        <v>1736.9569836073001</v>
      </c>
      <c r="L112" s="24">
        <f>K118</f>
        <v>1781.537420787665</v>
      </c>
      <c r="M112" s="2"/>
      <c r="N112" s="52"/>
    </row>
    <row r="113" spans="1:14" ht="25" customHeight="1">
      <c r="A113" s="2"/>
      <c r="B113" s="2"/>
      <c r="C113" s="16" t="s">
        <v>461</v>
      </c>
      <c r="D113" s="28">
        <v>1254.7</v>
      </c>
      <c r="E113" s="28">
        <v>1270.4000000000001</v>
      </c>
      <c r="F113" s="28">
        <v>1322.7</v>
      </c>
      <c r="G113" s="28">
        <v>1368.1</v>
      </c>
      <c r="H113" s="24">
        <f t="shared" ref="H113:L114" si="3">H103</f>
        <v>1351</v>
      </c>
      <c r="I113" s="24">
        <f t="shared" si="3"/>
        <v>1378.02</v>
      </c>
      <c r="J113" s="24">
        <f t="shared" si="3"/>
        <v>1405.5804000000001</v>
      </c>
      <c r="K113" s="24">
        <f t="shared" si="3"/>
        <v>1433.692008</v>
      </c>
      <c r="L113" s="24">
        <f t="shared" si="3"/>
        <v>1462.36584816</v>
      </c>
      <c r="M113" s="2"/>
      <c r="N113" s="52"/>
    </row>
    <row r="114" spans="1:14" ht="25" customHeight="1">
      <c r="A114" s="2"/>
      <c r="B114" s="2"/>
      <c r="C114" s="16" t="s">
        <v>462</v>
      </c>
      <c r="D114" s="28">
        <v>42.6</v>
      </c>
      <c r="E114" s="28">
        <v>62.9</v>
      </c>
      <c r="F114" s="28">
        <v>46.5</v>
      </c>
      <c r="G114" s="28">
        <v>139.80000000000001</v>
      </c>
      <c r="H114" s="24">
        <f t="shared" si="3"/>
        <v>140</v>
      </c>
      <c r="I114" s="24">
        <f t="shared" si="3"/>
        <v>149</v>
      </c>
      <c r="J114" s="24">
        <f t="shared" si="3"/>
        <v>158</v>
      </c>
      <c r="K114" s="24">
        <f t="shared" si="3"/>
        <v>167</v>
      </c>
      <c r="L114" s="24">
        <f t="shared" si="3"/>
        <v>175</v>
      </c>
      <c r="M114" s="2"/>
      <c r="N114" s="52"/>
    </row>
    <row r="115" spans="1:14" ht="25" customHeight="1">
      <c r="A115" s="2"/>
      <c r="B115" s="2"/>
      <c r="C115" s="16" t="s">
        <v>463</v>
      </c>
      <c r="D115" s="28">
        <v>54.9</v>
      </c>
      <c r="E115" s="28">
        <v>63.6</v>
      </c>
      <c r="F115" s="28">
        <v>68.3</v>
      </c>
      <c r="G115" s="28">
        <v>77.400000000000006</v>
      </c>
      <c r="H115" s="30">
        <f>H120*'01 Assumptions'!H20</f>
        <v>79.921831000000012</v>
      </c>
      <c r="I115" s="30">
        <f>I120*'01 Assumptions'!I20</f>
        <v>84.717140860000015</v>
      </c>
      <c r="J115" s="30">
        <f>J120*'01 Assumptions'!J20</f>
        <v>89.376583607300006</v>
      </c>
      <c r="K115" s="30">
        <f>K120*'01 Assumptions'!K20</f>
        <v>93.845412787665012</v>
      </c>
      <c r="L115" s="30">
        <f>L120*'01 Assumptions'!L20</f>
        <v>98.068456363109945</v>
      </c>
      <c r="M115" s="2"/>
      <c r="N115" s="52"/>
    </row>
    <row r="116" spans="1:14" ht="25" customHeight="1">
      <c r="A116" s="2"/>
      <c r="B116" s="2"/>
      <c r="C116" s="16" t="s">
        <v>464</v>
      </c>
      <c r="D116" s="28">
        <v>40.700000000000003</v>
      </c>
      <c r="E116" s="28">
        <v>43.8</v>
      </c>
      <c r="F116" s="28">
        <v>58.7</v>
      </c>
      <c r="G116" s="28">
        <v>55.4</v>
      </c>
      <c r="H116" s="24">
        <f>H102</f>
        <v>57</v>
      </c>
      <c r="I116" s="24">
        <f>I102</f>
        <v>60</v>
      </c>
      <c r="J116" s="24">
        <f>J102</f>
        <v>64</v>
      </c>
      <c r="K116" s="24">
        <f>K102</f>
        <v>67</v>
      </c>
      <c r="L116" s="24">
        <f>L102</f>
        <v>70</v>
      </c>
      <c r="M116" s="2"/>
      <c r="N116" s="52"/>
    </row>
    <row r="117" spans="1:14" ht="25" customHeight="1">
      <c r="A117" s="2"/>
      <c r="B117" s="2"/>
      <c r="C117" s="16" t="s">
        <v>465</v>
      </c>
      <c r="D117" s="28">
        <v>32.6</v>
      </c>
      <c r="E117" s="28">
        <v>12.1</v>
      </c>
      <c r="F117" s="28">
        <v>12.2</v>
      </c>
      <c r="G117" s="28">
        <v>19.899999999999999</v>
      </c>
      <c r="H117" s="24">
        <f>H38</f>
        <v>20</v>
      </c>
      <c r="I117" s="24">
        <f>I38</f>
        <v>20</v>
      </c>
      <c r="J117" s="24">
        <f>J38</f>
        <v>20</v>
      </c>
      <c r="K117" s="24">
        <f>K38</f>
        <v>20</v>
      </c>
      <c r="L117" s="24">
        <f>L38</f>
        <v>20</v>
      </c>
      <c r="M117" s="2"/>
      <c r="N117" s="52"/>
    </row>
    <row r="118" spans="1:14" ht="25" customHeight="1">
      <c r="A118" s="2"/>
      <c r="B118" s="2"/>
      <c r="C118" s="16" t="s">
        <v>466</v>
      </c>
      <c r="D118" s="28">
        <v>1425.5</v>
      </c>
      <c r="E118" s="28">
        <v>1452.8</v>
      </c>
      <c r="F118" s="28">
        <v>1508.4</v>
      </c>
      <c r="G118" s="28">
        <v>1660.6</v>
      </c>
      <c r="H118" s="24">
        <f>SUM(H113:H117)</f>
        <v>1647.9218310000001</v>
      </c>
      <c r="I118" s="24">
        <f>SUM(I113:I117)</f>
        <v>1691.73714086</v>
      </c>
      <c r="J118" s="24">
        <f>SUM(J113:J117)</f>
        <v>1736.9569836073001</v>
      </c>
      <c r="K118" s="24">
        <f>SUM(K113:K117)</f>
        <v>1781.537420787665</v>
      </c>
      <c r="L118" s="24">
        <f>SUM(L113:L117)</f>
        <v>1825.4343045231101</v>
      </c>
      <c r="M118" s="2"/>
      <c r="N118" s="52"/>
    </row>
    <row r="119" spans="1:14" ht="25" customHeight="1">
      <c r="A119" s="2"/>
      <c r="B119" s="2"/>
      <c r="C119" s="16" t="s">
        <v>467</v>
      </c>
      <c r="D119" s="28">
        <v>1353.2</v>
      </c>
      <c r="E119" s="28">
        <v>1439.15</v>
      </c>
      <c r="F119" s="28">
        <v>1480.6</v>
      </c>
      <c r="G119" s="28">
        <v>1584.5</v>
      </c>
      <c r="H119" s="24">
        <f>AVERAGE(H112,H118)</f>
        <v>1654.2609155</v>
      </c>
      <c r="I119" s="24">
        <f>AVERAGE(I112,I118)</f>
        <v>1669.8294859299999</v>
      </c>
      <c r="J119" s="24">
        <f>AVERAGE(J112,J118)</f>
        <v>1714.3470622336499</v>
      </c>
      <c r="K119" s="24">
        <f>AVERAGE(K112,K118)</f>
        <v>1759.2472021974827</v>
      </c>
      <c r="L119" s="24">
        <f>AVERAGE(L112,L118)</f>
        <v>1803.4858626553876</v>
      </c>
      <c r="M119" s="2"/>
      <c r="N119" s="52"/>
    </row>
    <row r="120" spans="1:14" ht="25" customHeight="1">
      <c r="A120" s="2"/>
      <c r="B120" s="2"/>
      <c r="C120" s="16" t="s">
        <v>33</v>
      </c>
      <c r="D120" s="28">
        <v>5034</v>
      </c>
      <c r="E120" s="28">
        <v>5491</v>
      </c>
      <c r="F120" s="28">
        <v>6118.1</v>
      </c>
      <c r="G120" s="28">
        <v>6901.3</v>
      </c>
      <c r="H120" s="24">
        <f>H362</f>
        <v>7265.621000000001</v>
      </c>
      <c r="I120" s="24">
        <f>I362</f>
        <v>7701.5582600000016</v>
      </c>
      <c r="J120" s="24">
        <f>J362</f>
        <v>8125.1439643000012</v>
      </c>
      <c r="K120" s="24">
        <f>K362</f>
        <v>8531.4011625150015</v>
      </c>
      <c r="L120" s="24">
        <f>L362</f>
        <v>8915.3142148281768</v>
      </c>
      <c r="M120" s="2"/>
      <c r="N120" s="52"/>
    </row>
    <row r="121" spans="1:14" ht="25" customHeight="1">
      <c r="A121" s="2"/>
      <c r="B121" s="2"/>
      <c r="C121" s="16" t="s">
        <v>468</v>
      </c>
      <c r="D121" s="37">
        <v>98.11640842272547</v>
      </c>
      <c r="E121" s="37">
        <v>95.663767983973784</v>
      </c>
      <c r="F121" s="37">
        <v>88.331181249080586</v>
      </c>
      <c r="G121" s="37">
        <v>83.801964847202697</v>
      </c>
      <c r="H121" s="27">
        <f>H119/H120*H429</f>
        <v>83.104422066262458</v>
      </c>
      <c r="I121" s="27">
        <f>I119/I120*I429</f>
        <v>79.13823953393684</v>
      </c>
      <c r="J121" s="27">
        <f>J119/J120*J429</f>
        <v>77.012380391612027</v>
      </c>
      <c r="K121" s="27">
        <f>K119/K120*K429</f>
        <v>75.266092470651898</v>
      </c>
      <c r="L121" s="27">
        <f>L119/L120*L429</f>
        <v>73.836134544126466</v>
      </c>
      <c r="M121" s="2"/>
      <c r="N121" s="52"/>
    </row>
    <row r="122" spans="1:14" ht="25" customHeight="1">
      <c r="A122" s="2"/>
      <c r="B122" s="2"/>
      <c r="C122" s="16"/>
      <c r="D122" s="3"/>
      <c r="E122" s="3"/>
      <c r="F122" s="3"/>
      <c r="G122" s="3"/>
      <c r="H122" s="24"/>
      <c r="I122" s="24"/>
      <c r="J122" s="24"/>
      <c r="K122" s="24"/>
      <c r="L122" s="24"/>
      <c r="M122" s="2"/>
      <c r="N122" s="52"/>
    </row>
    <row r="123" spans="1:14" ht="25" customHeight="1">
      <c r="A123" s="2"/>
      <c r="B123" s="2"/>
      <c r="C123" s="16" t="s">
        <v>469</v>
      </c>
      <c r="D123" s="28">
        <v>230.1</v>
      </c>
      <c r="E123" s="28">
        <v>297.10000000000002</v>
      </c>
      <c r="F123" s="28">
        <v>355.8</v>
      </c>
      <c r="G123" s="28">
        <v>340.9</v>
      </c>
      <c r="H123" s="24">
        <f>2*H134-H132</f>
        <v>390.87742247123299</v>
      </c>
      <c r="I123" s="24">
        <f>2*I134-I132</f>
        <v>386.19925588295905</v>
      </c>
      <c r="J123" s="24">
        <f>2*J134-J132</f>
        <v>435.08584389480609</v>
      </c>
      <c r="K123" s="24">
        <f>2*K134-K132</f>
        <v>428.80617519164446</v>
      </c>
      <c r="L123" s="24">
        <f>2*L134-L132</f>
        <v>473.96098475369649</v>
      </c>
      <c r="M123" s="2"/>
      <c r="N123" s="52"/>
    </row>
    <row r="124" spans="1:14" ht="25" customHeight="1">
      <c r="A124" s="2"/>
      <c r="B124" s="2"/>
      <c r="C124" s="16" t="s">
        <v>470</v>
      </c>
      <c r="D124" s="28">
        <v>2.1</v>
      </c>
      <c r="E124" s="28">
        <v>1.1000000000000001</v>
      </c>
      <c r="F124" s="28">
        <v>1.4</v>
      </c>
      <c r="G124" s="28">
        <v>3.1</v>
      </c>
      <c r="H124" s="24">
        <f>H101</f>
        <v>3</v>
      </c>
      <c r="I124" s="24">
        <f>I101</f>
        <v>3</v>
      </c>
      <c r="J124" s="24">
        <f>J101</f>
        <v>3</v>
      </c>
      <c r="K124" s="24">
        <f>K101</f>
        <v>3</v>
      </c>
      <c r="L124" s="24">
        <f>L101</f>
        <v>3</v>
      </c>
      <c r="M124" s="2"/>
      <c r="N124" s="52"/>
    </row>
    <row r="125" spans="1:14" ht="25" customHeight="1">
      <c r="A125" s="2"/>
      <c r="B125" s="2"/>
      <c r="C125" s="16" t="s">
        <v>471</v>
      </c>
      <c r="D125" s="28">
        <v>8.3000000000000007</v>
      </c>
      <c r="E125" s="28">
        <v>11.1</v>
      </c>
      <c r="F125" s="28">
        <v>47.7</v>
      </c>
      <c r="G125" s="28">
        <v>63</v>
      </c>
      <c r="H125" s="24">
        <f>H362*H100</f>
        <v>65.390589000000006</v>
      </c>
      <c r="I125" s="24">
        <f>I362*I100</f>
        <v>69.314024340000003</v>
      </c>
      <c r="J125" s="24">
        <f>J362*J100</f>
        <v>73.126295678700004</v>
      </c>
      <c r="K125" s="24">
        <f>K362*K100</f>
        <v>76.782610462635006</v>
      </c>
      <c r="L125" s="24">
        <f>L362*L100</f>
        <v>80.237827933453588</v>
      </c>
      <c r="M125" s="2"/>
      <c r="N125" s="52"/>
    </row>
    <row r="126" spans="1:14" ht="25" customHeight="1">
      <c r="A126" s="2"/>
      <c r="B126" s="2"/>
      <c r="C126" s="16" t="s">
        <v>472</v>
      </c>
      <c r="D126" s="28">
        <v>95.7</v>
      </c>
      <c r="E126" s="28">
        <v>133.4</v>
      </c>
      <c r="F126" s="28">
        <v>123</v>
      </c>
      <c r="G126" s="28">
        <v>118.2</v>
      </c>
      <c r="H126" s="24">
        <f>H97</f>
        <v>120</v>
      </c>
      <c r="I126" s="24">
        <f>I97</f>
        <v>125</v>
      </c>
      <c r="J126" s="24">
        <f>J97</f>
        <v>130</v>
      </c>
      <c r="K126" s="24">
        <f>K97</f>
        <v>135</v>
      </c>
      <c r="L126" s="24">
        <f>L97</f>
        <v>140</v>
      </c>
      <c r="M126" s="2"/>
      <c r="N126" s="52"/>
    </row>
    <row r="127" spans="1:14" ht="25" customHeight="1">
      <c r="A127" s="2"/>
      <c r="B127" s="2"/>
      <c r="C127" s="16" t="s">
        <v>473</v>
      </c>
      <c r="D127" s="28">
        <v>84.2</v>
      </c>
      <c r="E127" s="28">
        <v>99</v>
      </c>
      <c r="F127" s="28">
        <v>107.5</v>
      </c>
      <c r="G127" s="28">
        <v>114.6</v>
      </c>
      <c r="H127" s="24">
        <f>H362*H99</f>
        <v>123.51555700000003</v>
      </c>
      <c r="I127" s="24">
        <f>I362*I99</f>
        <v>130.92649042000005</v>
      </c>
      <c r="J127" s="24">
        <f>J362*J99</f>
        <v>138.12744739310003</v>
      </c>
      <c r="K127" s="24">
        <f>K362*K99</f>
        <v>145.03381976275503</v>
      </c>
      <c r="L127" s="24">
        <f>L362*L99</f>
        <v>151.56034165207902</v>
      </c>
      <c r="M127" s="2"/>
      <c r="N127" s="52"/>
    </row>
    <row r="128" spans="1:14" ht="25" customHeight="1">
      <c r="A128" s="2"/>
      <c r="B128" s="2"/>
      <c r="C128" s="16" t="s">
        <v>474</v>
      </c>
      <c r="D128" s="28">
        <v>0.2</v>
      </c>
      <c r="E128" s="28">
        <v>0</v>
      </c>
      <c r="F128" s="28">
        <v>0.2</v>
      </c>
      <c r="G128" s="28">
        <v>0.2</v>
      </c>
      <c r="H128" s="24">
        <f>H98</f>
        <v>0.2</v>
      </c>
      <c r="I128" s="24">
        <f>I98</f>
        <v>0.2</v>
      </c>
      <c r="J128" s="24">
        <f>J98</f>
        <v>0.2</v>
      </c>
      <c r="K128" s="24">
        <f>K98</f>
        <v>0.2</v>
      </c>
      <c r="L128" s="24">
        <f>L98</f>
        <v>0.2</v>
      </c>
      <c r="M128" s="2"/>
      <c r="N128" s="52"/>
    </row>
    <row r="129" spans="1:14" ht="25" customHeight="1">
      <c r="A129" s="2"/>
      <c r="B129" s="2"/>
      <c r="C129" s="16" t="s">
        <v>475</v>
      </c>
      <c r="D129" s="28">
        <v>370.5</v>
      </c>
      <c r="E129" s="28">
        <v>450.1</v>
      </c>
      <c r="F129" s="28">
        <v>441.1</v>
      </c>
      <c r="G129" s="28">
        <v>492.4</v>
      </c>
      <c r="H129" s="30">
        <f>H362*'01 Assumptions'!H21</f>
        <v>523.12471200000005</v>
      </c>
      <c r="I129" s="30">
        <f>I362*'01 Assumptions'!I21</f>
        <v>554.51219472000002</v>
      </c>
      <c r="J129" s="30">
        <f>J362*'01 Assumptions'!J21</f>
        <v>585.01036542960003</v>
      </c>
      <c r="K129" s="30">
        <f>K362*'01 Assumptions'!K21</f>
        <v>614.26088370108005</v>
      </c>
      <c r="L129" s="30">
        <f>L362*'01 Assumptions'!L21</f>
        <v>641.9026234676287</v>
      </c>
      <c r="M129" s="2"/>
      <c r="N129" s="52"/>
    </row>
    <row r="130" spans="1:14" ht="25" customHeight="1">
      <c r="A130" s="2"/>
      <c r="B130" s="2"/>
      <c r="C130" s="16" t="s">
        <v>476</v>
      </c>
      <c r="D130" s="28">
        <v>791.1</v>
      </c>
      <c r="E130" s="28">
        <v>991.8</v>
      </c>
      <c r="F130" s="28">
        <v>1076.7</v>
      </c>
      <c r="G130" s="28">
        <v>1132.4000000000001</v>
      </c>
      <c r="H130" s="24">
        <f>SUM(H123:H129)</f>
        <v>1226.1082804712332</v>
      </c>
      <c r="I130" s="24">
        <f>SUM(I123:I129)</f>
        <v>1269.1519653629593</v>
      </c>
      <c r="J130" s="24">
        <f>SUM(J123:J129)</f>
        <v>1364.5499523962062</v>
      </c>
      <c r="K130" s="24">
        <f>SUM(K123:K129)</f>
        <v>1403.0834891181146</v>
      </c>
      <c r="L130" s="24">
        <f>SUM(L123:L129)</f>
        <v>1490.8617778068578</v>
      </c>
      <c r="M130" s="2"/>
      <c r="N130" s="52"/>
    </row>
    <row r="131" spans="1:14" ht="25" customHeight="1">
      <c r="A131" s="2"/>
      <c r="B131" s="2"/>
      <c r="C131" s="16"/>
      <c r="D131" s="3"/>
      <c r="E131" s="3"/>
      <c r="F131" s="3"/>
      <c r="G131" s="3"/>
      <c r="H131" s="24"/>
      <c r="I131" s="24"/>
      <c r="J131" s="24"/>
      <c r="K131" s="24"/>
      <c r="L131" s="24"/>
      <c r="M131" s="2"/>
      <c r="N131" s="52"/>
    </row>
    <row r="132" spans="1:14" ht="25" customHeight="1">
      <c r="A132" s="2"/>
      <c r="B132" s="2"/>
      <c r="C132" s="16" t="s">
        <v>477</v>
      </c>
      <c r="D132" s="28">
        <v>275.39999999999998</v>
      </c>
      <c r="E132" s="28">
        <v>230.1</v>
      </c>
      <c r="F132" s="28">
        <v>297.10000000000002</v>
      </c>
      <c r="G132" s="28">
        <v>355.8</v>
      </c>
      <c r="H132" s="24">
        <f>G133</f>
        <v>340.9</v>
      </c>
      <c r="I132" s="24">
        <f>H133</f>
        <v>390.87742247123299</v>
      </c>
      <c r="J132" s="24">
        <f>I133</f>
        <v>386.19925588295905</v>
      </c>
      <c r="K132" s="24">
        <f>J133</f>
        <v>435.08584389480609</v>
      </c>
      <c r="L132" s="24">
        <f>K133</f>
        <v>428.80617519164446</v>
      </c>
      <c r="M132" s="2"/>
      <c r="N132" s="52"/>
    </row>
    <row r="133" spans="1:14" ht="25" customHeight="1">
      <c r="A133" s="2"/>
      <c r="B133" s="2"/>
      <c r="C133" s="16" t="s">
        <v>478</v>
      </c>
      <c r="D133" s="28">
        <v>230.1</v>
      </c>
      <c r="E133" s="28">
        <v>297.10000000000002</v>
      </c>
      <c r="F133" s="28">
        <v>355.8</v>
      </c>
      <c r="G133" s="28">
        <v>340.9</v>
      </c>
      <c r="H133" s="24">
        <f>H123</f>
        <v>390.87742247123299</v>
      </c>
      <c r="I133" s="24">
        <f>I123</f>
        <v>386.19925588295905</v>
      </c>
      <c r="J133" s="24">
        <f>J123</f>
        <v>435.08584389480609</v>
      </c>
      <c r="K133" s="24">
        <f>K123</f>
        <v>428.80617519164446</v>
      </c>
      <c r="L133" s="24">
        <f>L123</f>
        <v>473.96098475369649</v>
      </c>
      <c r="M133" s="2"/>
      <c r="N133" s="52"/>
    </row>
    <row r="134" spans="1:14" ht="25" customHeight="1">
      <c r="A134" s="2"/>
      <c r="B134" s="2"/>
      <c r="C134" s="16" t="s">
        <v>479</v>
      </c>
      <c r="D134" s="28">
        <v>252.75</v>
      </c>
      <c r="E134" s="28">
        <v>263.60000000000002</v>
      </c>
      <c r="F134" s="28">
        <v>326.45</v>
      </c>
      <c r="G134" s="28">
        <v>348.35</v>
      </c>
      <c r="H134" s="24">
        <f>H135*H136/H429</f>
        <v>365.88871123561648</v>
      </c>
      <c r="I134" s="24">
        <f>I135*I136/I429</f>
        <v>388.53833917709602</v>
      </c>
      <c r="J134" s="24">
        <f>J135*J136/J429</f>
        <v>410.64254988888257</v>
      </c>
      <c r="K134" s="24">
        <f>K135*K136/K429</f>
        <v>431.94600954322527</v>
      </c>
      <c r="L134" s="24">
        <f>L135*L136/L429</f>
        <v>451.38357997267047</v>
      </c>
      <c r="M134" s="2"/>
      <c r="N134" s="52"/>
    </row>
    <row r="135" spans="1:14" ht="25" customHeight="1">
      <c r="A135" s="2"/>
      <c r="B135" s="2"/>
      <c r="C135" s="16" t="s">
        <v>459</v>
      </c>
      <c r="D135" s="28">
        <v>2827.7</v>
      </c>
      <c r="E135" s="28">
        <v>3034.5</v>
      </c>
      <c r="F135" s="28">
        <v>3456.5</v>
      </c>
      <c r="G135" s="28">
        <v>3847.5</v>
      </c>
      <c r="H135" s="24">
        <f>-H364</f>
        <v>4046.9508970000011</v>
      </c>
      <c r="I135" s="24">
        <f>-I364</f>
        <v>4297.4695090800014</v>
      </c>
      <c r="J135" s="24">
        <f>-J364</f>
        <v>4541.9554760437013</v>
      </c>
      <c r="K135" s="24">
        <f>-K364</f>
        <v>4777.5846510084011</v>
      </c>
      <c r="L135" s="24">
        <f>-L364</f>
        <v>4992.5759603037795</v>
      </c>
      <c r="M135" s="2"/>
      <c r="N135" s="52"/>
    </row>
    <row r="136" spans="1:14" ht="25" customHeight="1">
      <c r="A136" s="2"/>
      <c r="B136" s="2"/>
      <c r="C136" s="16" t="s">
        <v>69</v>
      </c>
      <c r="D136" s="37">
        <v>32.625013261661422</v>
      </c>
      <c r="E136" s="37">
        <v>31.706706211896527</v>
      </c>
      <c r="F136" s="37">
        <v>34.472515550412268</v>
      </c>
      <c r="G136" s="37">
        <v>33.046848602988959</v>
      </c>
      <c r="H136" s="38">
        <f>'01 Assumptions'!H18</f>
        <v>33</v>
      </c>
      <c r="I136" s="38">
        <f>'01 Assumptions'!I18</f>
        <v>33</v>
      </c>
      <c r="J136" s="38">
        <f>'01 Assumptions'!J18</f>
        <v>33</v>
      </c>
      <c r="K136" s="38">
        <f>'01 Assumptions'!K18</f>
        <v>33</v>
      </c>
      <c r="L136" s="38">
        <f>'01 Assumptions'!L18</f>
        <v>33</v>
      </c>
      <c r="M136" s="2"/>
      <c r="N136" s="52"/>
    </row>
    <row r="137" spans="1:14" ht="25" customHeight="1">
      <c r="A137" s="2"/>
      <c r="B137" s="2"/>
      <c r="C137" s="16"/>
      <c r="D137" s="3"/>
      <c r="E137" s="3"/>
      <c r="F137" s="3"/>
      <c r="G137" s="3"/>
      <c r="H137" s="24"/>
      <c r="I137" s="24"/>
      <c r="J137" s="24"/>
      <c r="K137" s="24"/>
      <c r="L137" s="24"/>
      <c r="M137" s="2"/>
      <c r="N137" s="52"/>
    </row>
    <row r="138" spans="1:14" ht="25" customHeight="1">
      <c r="A138" s="2"/>
      <c r="B138" s="2"/>
      <c r="C138" s="16"/>
      <c r="D138" s="3"/>
      <c r="E138" s="3"/>
      <c r="F138" s="3"/>
      <c r="G138" s="3"/>
      <c r="H138" s="24"/>
      <c r="I138" s="24"/>
      <c r="J138" s="24"/>
      <c r="K138" s="24"/>
      <c r="L138" s="24"/>
      <c r="M138" s="2"/>
      <c r="N138" s="52"/>
    </row>
    <row r="139" spans="1:14" ht="25" customHeight="1">
      <c r="A139" s="2"/>
      <c r="B139" s="2"/>
      <c r="C139" s="117" t="s">
        <v>480</v>
      </c>
      <c r="D139" s="118"/>
      <c r="E139" s="118"/>
      <c r="F139" s="118"/>
      <c r="G139" s="118"/>
      <c r="H139" s="122"/>
      <c r="I139" s="122"/>
      <c r="J139" s="122"/>
      <c r="K139" s="122"/>
      <c r="L139" s="122"/>
      <c r="M139" s="2"/>
      <c r="N139" s="52"/>
    </row>
    <row r="140" spans="1:14" ht="25" customHeight="1">
      <c r="A140" s="2"/>
      <c r="B140" s="2"/>
      <c r="C140" s="16"/>
      <c r="D140" s="3"/>
      <c r="E140" s="3"/>
      <c r="F140" s="3"/>
      <c r="G140" s="3"/>
      <c r="H140" s="24"/>
      <c r="I140" s="24"/>
      <c r="J140" s="24"/>
      <c r="K140" s="24"/>
      <c r="L140" s="24"/>
      <c r="M140" s="2"/>
      <c r="N140" s="52"/>
    </row>
    <row r="141" spans="1:14" ht="25" customHeight="1">
      <c r="A141" s="2"/>
      <c r="B141" s="2"/>
      <c r="C141" s="41" t="s">
        <v>481</v>
      </c>
      <c r="D141" s="7"/>
      <c r="E141" s="7"/>
      <c r="F141" s="7"/>
      <c r="G141" s="7"/>
      <c r="H141" s="7"/>
      <c r="I141" s="7"/>
      <c r="J141" s="7"/>
      <c r="K141" s="7"/>
      <c r="L141" s="7"/>
      <c r="M141" s="2"/>
      <c r="N141" s="52" t="s">
        <v>343</v>
      </c>
    </row>
    <row r="142" spans="1:14" ht="25" customHeight="1">
      <c r="A142" s="2"/>
      <c r="B142" s="2"/>
      <c r="C142" s="16" t="s">
        <v>482</v>
      </c>
      <c r="D142" s="3"/>
      <c r="E142" s="3"/>
      <c r="F142" s="3"/>
      <c r="G142" s="3"/>
      <c r="H142" s="29">
        <v>0</v>
      </c>
      <c r="I142" s="24">
        <f t="shared" ref="I142:L143" si="4">I157</f>
        <v>300</v>
      </c>
      <c r="J142" s="24">
        <f t="shared" si="4"/>
        <v>0</v>
      </c>
      <c r="K142" s="24">
        <f t="shared" si="4"/>
        <v>0</v>
      </c>
      <c r="L142" s="24">
        <f t="shared" si="4"/>
        <v>300</v>
      </c>
      <c r="M142" s="2"/>
      <c r="N142" s="52" t="s">
        <v>483</v>
      </c>
    </row>
    <row r="143" spans="1:14" ht="25" customHeight="1">
      <c r="A143" s="2"/>
      <c r="B143" s="2"/>
      <c r="C143" s="16" t="s">
        <v>484</v>
      </c>
      <c r="D143" s="3"/>
      <c r="E143" s="3"/>
      <c r="F143" s="3"/>
      <c r="G143" s="3"/>
      <c r="H143" s="29">
        <v>600</v>
      </c>
      <c r="I143" s="24">
        <f t="shared" si="4"/>
        <v>300</v>
      </c>
      <c r="J143" s="24">
        <f t="shared" si="4"/>
        <v>600</v>
      </c>
      <c r="K143" s="24">
        <f t="shared" si="4"/>
        <v>600</v>
      </c>
      <c r="L143" s="24">
        <f t="shared" si="4"/>
        <v>300</v>
      </c>
      <c r="M143" s="2"/>
      <c r="N143" s="52" t="s">
        <v>485</v>
      </c>
    </row>
    <row r="144" spans="1:14" ht="25" customHeight="1">
      <c r="A144" s="2"/>
      <c r="B144" s="2"/>
      <c r="C144" s="16" t="s">
        <v>486</v>
      </c>
      <c r="D144" s="3"/>
      <c r="E144" s="3"/>
      <c r="F144" s="3"/>
      <c r="G144" s="3"/>
      <c r="H144" s="29">
        <v>2</v>
      </c>
      <c r="I144" s="29">
        <v>2.1</v>
      </c>
      <c r="J144" s="29">
        <v>2.2000000000000002</v>
      </c>
      <c r="K144" s="29">
        <v>2.2999999999999998</v>
      </c>
      <c r="L144" s="29">
        <v>2.4</v>
      </c>
      <c r="M144" s="2"/>
      <c r="N144" s="52" t="s">
        <v>487</v>
      </c>
    </row>
    <row r="145" spans="1:14" ht="25" customHeight="1">
      <c r="A145" s="2"/>
      <c r="B145" s="2"/>
      <c r="C145" s="16" t="s">
        <v>488</v>
      </c>
      <c r="D145" s="3"/>
      <c r="E145" s="3"/>
      <c r="F145" s="3"/>
      <c r="G145" s="3"/>
      <c r="H145" s="29">
        <v>0</v>
      </c>
      <c r="I145" s="29">
        <v>0</v>
      </c>
      <c r="J145" s="29">
        <v>0</v>
      </c>
      <c r="K145" s="29">
        <v>0</v>
      </c>
      <c r="L145" s="29">
        <v>0</v>
      </c>
      <c r="M145" s="2"/>
      <c r="N145" s="52" t="s">
        <v>489</v>
      </c>
    </row>
    <row r="146" spans="1:14" ht="25" customHeight="1">
      <c r="A146" s="2"/>
      <c r="B146" s="2"/>
      <c r="C146" s="16" t="s">
        <v>490</v>
      </c>
      <c r="D146" s="3"/>
      <c r="E146" s="3"/>
      <c r="F146" s="3"/>
      <c r="G146" s="3"/>
      <c r="H146" s="33">
        <v>5.1999999999999998E-2</v>
      </c>
      <c r="I146" s="25"/>
      <c r="J146" s="25"/>
      <c r="K146" s="25"/>
      <c r="L146" s="25"/>
      <c r="M146" s="2"/>
      <c r="N146" s="52" t="s">
        <v>491</v>
      </c>
    </row>
    <row r="147" spans="1:14" ht="25" customHeight="1">
      <c r="A147" s="2"/>
      <c r="B147" s="2"/>
      <c r="C147" s="16" t="s">
        <v>492</v>
      </c>
      <c r="D147" s="3"/>
      <c r="E147" s="3"/>
      <c r="F147" s="3"/>
      <c r="G147" s="3"/>
      <c r="H147" s="33">
        <v>0.66666666666666663</v>
      </c>
      <c r="I147" s="25"/>
      <c r="J147" s="25"/>
      <c r="K147" s="25"/>
      <c r="L147" s="25"/>
      <c r="M147" s="2"/>
      <c r="N147" s="52" t="s">
        <v>493</v>
      </c>
    </row>
    <row r="148" spans="1:14" ht="25" customHeight="1">
      <c r="A148" s="2"/>
      <c r="B148" s="2"/>
      <c r="C148" s="16" t="s">
        <v>494</v>
      </c>
      <c r="D148" s="3"/>
      <c r="E148" s="3"/>
      <c r="F148" s="3"/>
      <c r="G148" s="3"/>
      <c r="H148" s="34">
        <v>3.6249999999999998E-2</v>
      </c>
      <c r="I148" s="34">
        <v>3.6249999999999998E-2</v>
      </c>
      <c r="J148" s="34">
        <v>3.6249999999999998E-2</v>
      </c>
      <c r="K148" s="34">
        <v>3.6249999999999998E-2</v>
      </c>
      <c r="L148" s="34">
        <v>3.6249999999999998E-2</v>
      </c>
      <c r="M148" s="2"/>
      <c r="N148" s="52" t="s">
        <v>495</v>
      </c>
    </row>
    <row r="149" spans="1:14" ht="25" customHeight="1">
      <c r="A149" s="2"/>
      <c r="B149" s="2"/>
      <c r="C149" s="16" t="s">
        <v>496</v>
      </c>
      <c r="D149" s="3"/>
      <c r="E149" s="3"/>
      <c r="F149" s="3"/>
      <c r="G149" s="3"/>
      <c r="H149" s="33">
        <v>0.05</v>
      </c>
      <c r="I149" s="33">
        <v>0.05</v>
      </c>
      <c r="J149" s="33">
        <v>0.05</v>
      </c>
      <c r="K149" s="33">
        <v>0.05</v>
      </c>
      <c r="L149" s="33">
        <v>0.05</v>
      </c>
      <c r="M149" s="2"/>
      <c r="N149" s="52" t="s">
        <v>497</v>
      </c>
    </row>
    <row r="150" spans="1:14" ht="25" customHeight="1">
      <c r="A150" s="2"/>
      <c r="B150" s="2"/>
      <c r="C150" s="16" t="s">
        <v>498</v>
      </c>
      <c r="D150" s="3"/>
      <c r="E150" s="3"/>
      <c r="F150" s="3"/>
      <c r="G150" s="3"/>
      <c r="H150" s="33">
        <v>1</v>
      </c>
      <c r="I150" s="33">
        <v>1</v>
      </c>
      <c r="J150" s="33">
        <v>0.29299999999999998</v>
      </c>
      <c r="K150" s="33">
        <v>0</v>
      </c>
      <c r="L150" s="33">
        <v>0</v>
      </c>
      <c r="M150" s="2"/>
      <c r="N150" s="52" t="s">
        <v>499</v>
      </c>
    </row>
    <row r="151" spans="1:14" ht="25" customHeight="1">
      <c r="A151" s="2"/>
      <c r="B151" s="2"/>
      <c r="C151" s="16" t="s">
        <v>500</v>
      </c>
      <c r="D151" s="3"/>
      <c r="E151" s="3"/>
      <c r="F151" s="3"/>
      <c r="G151" s="3"/>
      <c r="H151" s="29">
        <v>0</v>
      </c>
      <c r="I151" s="29">
        <v>0</v>
      </c>
      <c r="J151" s="29">
        <v>0</v>
      </c>
      <c r="K151" s="29">
        <v>0</v>
      </c>
      <c r="L151" s="29">
        <v>0</v>
      </c>
      <c r="M151" s="2"/>
      <c r="N151" s="52" t="s">
        <v>501</v>
      </c>
    </row>
    <row r="152" spans="1:14" ht="25" customHeight="1">
      <c r="A152" s="2"/>
      <c r="B152" s="2"/>
      <c r="C152" s="16" t="s">
        <v>502</v>
      </c>
      <c r="D152" s="3"/>
      <c r="E152" s="3"/>
      <c r="F152" s="3"/>
      <c r="G152" s="3"/>
      <c r="H152" s="24"/>
      <c r="I152" s="30">
        <f>'02 Model'!H51-'02 Model'!H137</f>
        <v>36</v>
      </c>
      <c r="J152" s="30">
        <f>'02 Model'!I51-'02 Model'!I137</f>
        <v>36</v>
      </c>
      <c r="K152" s="30">
        <f>'02 Model'!J51-'02 Model'!J137</f>
        <v>36</v>
      </c>
      <c r="L152" s="30">
        <f>'02 Model'!K51-'02 Model'!K137</f>
        <v>36</v>
      </c>
      <c r="M152" s="2"/>
      <c r="N152" s="52" t="s">
        <v>503</v>
      </c>
    </row>
    <row r="153" spans="1:14" ht="25" customHeight="1">
      <c r="A153" s="2"/>
      <c r="B153" s="2"/>
      <c r="C153" s="16" t="s">
        <v>504</v>
      </c>
      <c r="D153" s="3"/>
      <c r="E153" s="3"/>
      <c r="F153" s="3"/>
      <c r="G153" s="3"/>
      <c r="H153" s="24"/>
      <c r="I153" s="29">
        <v>300</v>
      </c>
      <c r="J153" s="24"/>
      <c r="K153" s="24"/>
      <c r="L153" s="24"/>
      <c r="M153" s="2"/>
      <c r="N153" s="52" t="s">
        <v>505</v>
      </c>
    </row>
    <row r="154" spans="1:14" ht="25" customHeight="1">
      <c r="A154" s="2"/>
      <c r="B154" s="2"/>
      <c r="C154" s="16" t="s">
        <v>506</v>
      </c>
      <c r="D154" s="3"/>
      <c r="E154" s="3"/>
      <c r="F154" s="3"/>
      <c r="G154" s="3"/>
      <c r="H154" s="24"/>
      <c r="I154" s="29">
        <v>300</v>
      </c>
      <c r="J154" s="24"/>
      <c r="K154" s="24"/>
      <c r="L154" s="24"/>
      <c r="M154" s="2"/>
      <c r="N154" s="52" t="s">
        <v>507</v>
      </c>
    </row>
    <row r="155" spans="1:14" ht="25" customHeight="1">
      <c r="A155" s="2"/>
      <c r="B155" s="2"/>
      <c r="C155" s="16"/>
      <c r="D155" s="3"/>
      <c r="E155" s="3"/>
      <c r="F155" s="3"/>
      <c r="G155" s="3"/>
      <c r="H155" s="24"/>
      <c r="I155" s="24"/>
      <c r="J155" s="24"/>
      <c r="K155" s="24"/>
      <c r="L155" s="24"/>
      <c r="M155" s="2"/>
      <c r="N155" s="52"/>
    </row>
    <row r="156" spans="1:14" ht="25" customHeight="1">
      <c r="A156" s="2"/>
      <c r="B156" s="2"/>
      <c r="C156" s="16" t="s">
        <v>206</v>
      </c>
      <c r="D156" s="28">
        <v>102.3</v>
      </c>
      <c r="E156" s="28">
        <v>58.7</v>
      </c>
      <c r="F156" s="28">
        <v>60.6</v>
      </c>
      <c r="G156" s="28">
        <v>96</v>
      </c>
      <c r="H156" s="30">
        <f>'01 Assumptions'!H34</f>
        <v>96</v>
      </c>
      <c r="I156" s="24">
        <f>I186</f>
        <v>96</v>
      </c>
      <c r="J156" s="24">
        <f>J186</f>
        <v>96</v>
      </c>
      <c r="K156" s="24">
        <f>K186</f>
        <v>96</v>
      </c>
      <c r="L156" s="24">
        <f>L186</f>
        <v>96</v>
      </c>
      <c r="M156" s="2"/>
      <c r="N156" s="52"/>
    </row>
    <row r="157" spans="1:14" ht="25" customHeight="1">
      <c r="A157" s="2"/>
      <c r="B157" s="2"/>
      <c r="C157" s="16" t="s">
        <v>208</v>
      </c>
      <c r="D157" s="28">
        <v>0</v>
      </c>
      <c r="E157" s="28">
        <v>0</v>
      </c>
      <c r="F157" s="28">
        <v>250</v>
      </c>
      <c r="G157" s="28">
        <v>112.9</v>
      </c>
      <c r="H157" s="24">
        <f>H142</f>
        <v>0</v>
      </c>
      <c r="I157" s="24">
        <f t="shared" ref="I157:L158" si="5">I189</f>
        <v>300</v>
      </c>
      <c r="J157" s="24">
        <f t="shared" si="5"/>
        <v>0</v>
      </c>
      <c r="K157" s="24">
        <f t="shared" si="5"/>
        <v>0</v>
      </c>
      <c r="L157" s="24">
        <f t="shared" si="5"/>
        <v>300</v>
      </c>
      <c r="M157" s="2"/>
      <c r="N157" s="52"/>
    </row>
    <row r="158" spans="1:14" ht="25" customHeight="1">
      <c r="A158" s="2"/>
      <c r="B158" s="2"/>
      <c r="C158" s="16" t="s">
        <v>221</v>
      </c>
      <c r="D158" s="28">
        <v>790.7</v>
      </c>
      <c r="E158" s="28">
        <v>820.3</v>
      </c>
      <c r="F158" s="28">
        <v>543.79999999999995</v>
      </c>
      <c r="G158" s="28">
        <v>600</v>
      </c>
      <c r="H158" s="24">
        <f>H143</f>
        <v>600</v>
      </c>
      <c r="I158" s="24">
        <f t="shared" si="5"/>
        <v>300</v>
      </c>
      <c r="J158" s="24">
        <f t="shared" si="5"/>
        <v>600</v>
      </c>
      <c r="K158" s="24">
        <f t="shared" si="5"/>
        <v>600</v>
      </c>
      <c r="L158" s="24">
        <f t="shared" si="5"/>
        <v>300</v>
      </c>
      <c r="M158" s="2"/>
      <c r="N158" s="52"/>
    </row>
    <row r="159" spans="1:14" ht="25" customHeight="1">
      <c r="A159" s="2"/>
      <c r="B159" s="2"/>
      <c r="C159" s="16" t="s">
        <v>508</v>
      </c>
      <c r="D159" s="28">
        <v>893</v>
      </c>
      <c r="E159" s="28">
        <v>879</v>
      </c>
      <c r="F159" s="28">
        <v>854.4</v>
      </c>
      <c r="G159" s="28">
        <v>808.9</v>
      </c>
      <c r="H159" s="24">
        <f>SUM(H156:H158)</f>
        <v>696</v>
      </c>
      <c r="I159" s="24">
        <f>SUM(I156:I158)</f>
        <v>696</v>
      </c>
      <c r="J159" s="24">
        <f>SUM(J156:J158)</f>
        <v>696</v>
      </c>
      <c r="K159" s="24">
        <f>SUM(K156:K158)</f>
        <v>696</v>
      </c>
      <c r="L159" s="24">
        <f>SUM(L156:L158)</f>
        <v>696</v>
      </c>
      <c r="M159" s="2"/>
      <c r="N159" s="52"/>
    </row>
    <row r="160" spans="1:14" ht="25" customHeight="1">
      <c r="A160" s="2"/>
      <c r="B160" s="2"/>
      <c r="C160" s="16" t="s">
        <v>509</v>
      </c>
      <c r="D160" s="28">
        <v>105</v>
      </c>
      <c r="E160" s="28">
        <v>188.3</v>
      </c>
      <c r="F160" s="28">
        <v>200.4</v>
      </c>
      <c r="G160" s="28">
        <v>96.2</v>
      </c>
      <c r="H160" s="30">
        <f>'02 Model'!H137</f>
        <v>75.748154697716203</v>
      </c>
      <c r="I160" s="30">
        <f>'02 Model'!I137</f>
        <v>63.999999999999957</v>
      </c>
      <c r="J160" s="30">
        <f>'02 Model'!J137</f>
        <v>63.999999999999957</v>
      </c>
      <c r="K160" s="30">
        <f>'02 Model'!K137</f>
        <v>63.999999999999957</v>
      </c>
      <c r="L160" s="30">
        <f>'02 Model'!L137</f>
        <v>63.999999999999957</v>
      </c>
      <c r="M160" s="2"/>
      <c r="N160" s="52"/>
    </row>
    <row r="161" spans="1:14" ht="25" customHeight="1">
      <c r="A161" s="2"/>
      <c r="B161" s="2"/>
      <c r="C161" s="16" t="s">
        <v>510</v>
      </c>
      <c r="D161" s="28">
        <v>788</v>
      </c>
      <c r="E161" s="28">
        <v>690.7</v>
      </c>
      <c r="F161" s="28">
        <v>654</v>
      </c>
      <c r="G161" s="28">
        <v>712.7</v>
      </c>
      <c r="H161" s="24">
        <f>IF(OR(H159="",H160=""),"",H159-H160)</f>
        <v>620.25184530228375</v>
      </c>
      <c r="I161" s="24">
        <f>IF(OR(I159="",I160=""),"",I159-I160)</f>
        <v>632</v>
      </c>
      <c r="J161" s="24">
        <f>IF(OR(J159="",J160=""),"",J159-J160)</f>
        <v>632</v>
      </c>
      <c r="K161" s="24">
        <f>IF(OR(K159="",K160=""),"",K159-K160)</f>
        <v>632</v>
      </c>
      <c r="L161" s="24">
        <f>IF(OR(L159="",L160=""),"",L159-L160)</f>
        <v>632</v>
      </c>
      <c r="M161" s="2"/>
      <c r="N161" s="52"/>
    </row>
    <row r="162" spans="1:14" ht="25" customHeight="1">
      <c r="A162" s="2"/>
      <c r="B162" s="2"/>
      <c r="C162" s="16"/>
      <c r="D162" s="3"/>
      <c r="E162" s="3"/>
      <c r="F162" s="3"/>
      <c r="G162" s="3"/>
      <c r="H162" s="24"/>
      <c r="I162" s="24"/>
      <c r="J162" s="24"/>
      <c r="K162" s="24"/>
      <c r="L162" s="24"/>
      <c r="M162" s="2"/>
      <c r="N162" s="52"/>
    </row>
    <row r="163" spans="1:14" ht="25" customHeight="1">
      <c r="A163" s="2"/>
      <c r="B163" s="2"/>
      <c r="C163" s="16" t="s">
        <v>511</v>
      </c>
      <c r="D163" s="3"/>
      <c r="E163" s="28">
        <v>105</v>
      </c>
      <c r="F163" s="28">
        <v>188.3</v>
      </c>
      <c r="G163" s="28">
        <v>200.4</v>
      </c>
      <c r="H163" s="24">
        <f>G160</f>
        <v>96.2</v>
      </c>
      <c r="I163" s="30">
        <f>'02 Model'!H51</f>
        <v>111.7481546977162</v>
      </c>
      <c r="J163" s="30">
        <f>'02 Model'!I51</f>
        <v>99.999999999999957</v>
      </c>
      <c r="K163" s="30">
        <f>'02 Model'!J51</f>
        <v>99.999999999999957</v>
      </c>
      <c r="L163" s="30">
        <f>'02 Model'!K51</f>
        <v>99.999999999999957</v>
      </c>
      <c r="M163" s="2"/>
      <c r="N163" s="52"/>
    </row>
    <row r="164" spans="1:14" ht="25" customHeight="1">
      <c r="A164" s="2"/>
      <c r="B164" s="2"/>
      <c r="C164" s="16" t="s">
        <v>512</v>
      </c>
      <c r="D164" s="28">
        <v>105</v>
      </c>
      <c r="E164" s="28">
        <v>188.3</v>
      </c>
      <c r="F164" s="28">
        <v>200.4</v>
      </c>
      <c r="G164" s="28">
        <v>96.2</v>
      </c>
      <c r="H164" s="30">
        <f>'02 Model'!H51</f>
        <v>111.7481546977162</v>
      </c>
      <c r="I164" s="30">
        <f>'02 Model'!I51</f>
        <v>99.999999999999957</v>
      </c>
      <c r="J164" s="30">
        <f>'02 Model'!J51</f>
        <v>99.999999999999957</v>
      </c>
      <c r="K164" s="30">
        <f>'02 Model'!K51</f>
        <v>99.999999999999957</v>
      </c>
      <c r="L164" s="30">
        <f>'02 Model'!L51</f>
        <v>99.999999999999957</v>
      </c>
      <c r="M164" s="2"/>
      <c r="N164" s="52"/>
    </row>
    <row r="165" spans="1:14" ht="25" customHeight="1">
      <c r="A165" s="2"/>
      <c r="B165" s="2"/>
      <c r="C165" s="16" t="s">
        <v>513</v>
      </c>
      <c r="D165" s="3"/>
      <c r="E165" s="28">
        <v>146.65</v>
      </c>
      <c r="F165" s="28">
        <v>194.35</v>
      </c>
      <c r="G165" s="28">
        <v>148.30000000000001</v>
      </c>
      <c r="H165" s="24">
        <f>IF(H164="","",AVERAGE(H163,H164))</f>
        <v>103.9740773488581</v>
      </c>
      <c r="I165" s="24">
        <f>AVERAGE(I163,I164)</f>
        <v>105.87407734885808</v>
      </c>
      <c r="J165" s="24">
        <f>AVERAGE(J163,J164)</f>
        <v>99.999999999999957</v>
      </c>
      <c r="K165" s="24">
        <f>AVERAGE(K163,K164)</f>
        <v>99.999999999999957</v>
      </c>
      <c r="L165" s="24">
        <f>AVERAGE(L163,L164)</f>
        <v>99.999999999999957</v>
      </c>
      <c r="M165" s="2"/>
      <c r="N165" s="52"/>
    </row>
    <row r="166" spans="1:14" ht="25" customHeight="1">
      <c r="A166" s="2"/>
      <c r="B166" s="2"/>
      <c r="C166" s="16" t="s">
        <v>514</v>
      </c>
      <c r="D166" s="3"/>
      <c r="E166" s="28">
        <v>146.65</v>
      </c>
      <c r="F166" s="28">
        <v>194.35</v>
      </c>
      <c r="G166" s="28">
        <v>148.30000000000001</v>
      </c>
      <c r="H166" s="24">
        <f>H163</f>
        <v>96.2</v>
      </c>
      <c r="I166" s="24">
        <f>I163</f>
        <v>111.7481546977162</v>
      </c>
      <c r="J166" s="24">
        <f>J163</f>
        <v>99.999999999999957</v>
      </c>
      <c r="K166" s="24">
        <f>K163</f>
        <v>99.999999999999957</v>
      </c>
      <c r="L166" s="24">
        <f>L163</f>
        <v>99.999999999999957</v>
      </c>
      <c r="M166" s="2"/>
      <c r="N166" s="52"/>
    </row>
    <row r="167" spans="1:14" ht="25" customHeight="1">
      <c r="A167" s="2"/>
      <c r="B167" s="2"/>
      <c r="C167" s="16" t="s">
        <v>515</v>
      </c>
      <c r="D167" s="12"/>
      <c r="E167" s="35">
        <v>1.7047391749062394E-2</v>
      </c>
      <c r="F167" s="35">
        <v>3.7046565474659114E-2</v>
      </c>
      <c r="G167" s="35">
        <v>6.2036412677006061E-2</v>
      </c>
      <c r="H167" s="36">
        <f>'01 Assumptions'!H36</f>
        <v>3.5000000000000003E-2</v>
      </c>
      <c r="I167" s="36">
        <f>'01 Assumptions'!I36</f>
        <v>3.2500000000000001E-2</v>
      </c>
      <c r="J167" s="36">
        <f>'01 Assumptions'!J36</f>
        <v>0.03</v>
      </c>
      <c r="K167" s="36">
        <f>'01 Assumptions'!K36</f>
        <v>0.03</v>
      </c>
      <c r="L167" s="36">
        <f>'01 Assumptions'!L36</f>
        <v>0.03</v>
      </c>
      <c r="M167" s="2"/>
      <c r="N167" s="52"/>
    </row>
    <row r="168" spans="1:14" ht="25" customHeight="1">
      <c r="A168" s="2"/>
      <c r="B168" s="2"/>
      <c r="C168" s="16" t="s">
        <v>516</v>
      </c>
      <c r="D168" s="28">
        <v>0.1</v>
      </c>
      <c r="E168" s="28">
        <v>2.5</v>
      </c>
      <c r="F168" s="28">
        <v>7.2</v>
      </c>
      <c r="G168" s="28">
        <v>9.1999999999999993</v>
      </c>
      <c r="H168" s="24">
        <f>H166*H167</f>
        <v>3.3670000000000004</v>
      </c>
      <c r="I168" s="24">
        <f>I166*I167</f>
        <v>3.6318150276757768</v>
      </c>
      <c r="J168" s="24">
        <f>J166*J167</f>
        <v>2.9999999999999987</v>
      </c>
      <c r="K168" s="24">
        <f>K166*K167</f>
        <v>2.9999999999999987</v>
      </c>
      <c r="L168" s="24">
        <f>L166*L167</f>
        <v>2.9999999999999987</v>
      </c>
      <c r="M168" s="2"/>
      <c r="N168" s="52"/>
    </row>
    <row r="169" spans="1:14" ht="25" customHeight="1">
      <c r="A169" s="2"/>
      <c r="B169" s="2"/>
      <c r="C169" s="16" t="s">
        <v>517</v>
      </c>
      <c r="D169" s="28">
        <v>5.6</v>
      </c>
      <c r="E169" s="28">
        <v>4.3</v>
      </c>
      <c r="F169" s="28">
        <v>1</v>
      </c>
      <c r="G169" s="28">
        <v>1.8</v>
      </c>
      <c r="H169" s="24">
        <f>H144</f>
        <v>2</v>
      </c>
      <c r="I169" s="24">
        <f>I144</f>
        <v>2.1</v>
      </c>
      <c r="J169" s="24">
        <f>J144</f>
        <v>2.2000000000000002</v>
      </c>
      <c r="K169" s="24">
        <f>K144</f>
        <v>2.2999999999999998</v>
      </c>
      <c r="L169" s="24">
        <f>L144</f>
        <v>2.4</v>
      </c>
      <c r="M169" s="2"/>
      <c r="N169" s="52"/>
    </row>
    <row r="170" spans="1:14" ht="25" customHeight="1">
      <c r="A170" s="2"/>
      <c r="B170" s="2"/>
      <c r="C170" s="16" t="s">
        <v>518</v>
      </c>
      <c r="D170" s="28">
        <v>5.7</v>
      </c>
      <c r="E170" s="28">
        <v>6.8</v>
      </c>
      <c r="F170" s="28">
        <v>8.1999999999999993</v>
      </c>
      <c r="G170" s="28">
        <v>11</v>
      </c>
      <c r="H170" s="24">
        <f>SUM(H168:H169)</f>
        <v>5.3670000000000009</v>
      </c>
      <c r="I170" s="24">
        <f>SUM(I168:I169)</f>
        <v>5.7318150276757773</v>
      </c>
      <c r="J170" s="24">
        <f>SUM(J168:J169)</f>
        <v>5.1999999999999993</v>
      </c>
      <c r="K170" s="24">
        <f>SUM(K168:K169)</f>
        <v>5.2999999999999989</v>
      </c>
      <c r="L170" s="24">
        <f>SUM(L168:L169)</f>
        <v>5.3999999999999986</v>
      </c>
      <c r="M170" s="2"/>
      <c r="N170" s="52"/>
    </row>
    <row r="171" spans="1:14" ht="25" customHeight="1">
      <c r="A171" s="2"/>
      <c r="B171" s="2"/>
      <c r="C171" s="16" t="s">
        <v>519</v>
      </c>
      <c r="D171" s="28">
        <v>29.8</v>
      </c>
      <c r="E171" s="28">
        <v>39.1</v>
      </c>
      <c r="F171" s="28">
        <v>41.6</v>
      </c>
      <c r="G171" s="28">
        <v>40.6</v>
      </c>
      <c r="H171" s="30">
        <f>G157*H146*H147+(G158/2)*H148+(G158/2)*H149+IF(H145=1,AVERAGE(G156,H156),G156)*'01 Assumptions'!H35</f>
        <v>34.588866666666668</v>
      </c>
      <c r="I171" s="30">
        <f>I176*I148*I150+I181*'01 Assumptions'!I37*(1-I150)+I185*I149+I186*'01 Assumptions'!I35</f>
        <v>30.675000000000001</v>
      </c>
      <c r="J171" s="30">
        <f>J176*J148*J150+J181*'01 Assumptions'!J37*(1-J150)+J185*J149+J186*'01 Assumptions'!J35</f>
        <v>32.530875000000002</v>
      </c>
      <c r="K171" s="30">
        <f>K176*K148*K150+K181*'01 Assumptions'!K37*(1-K150)+K185*K149+K186*'01 Assumptions'!K35</f>
        <v>33.299999999999997</v>
      </c>
      <c r="L171" s="30">
        <f>L176*L148*L150+L181*'01 Assumptions'!L37*(1-L150)+L185*L149+L186*'01 Assumptions'!L35</f>
        <v>33.299999999999997</v>
      </c>
      <c r="M171" s="2"/>
      <c r="N171" s="52"/>
    </row>
    <row r="172" spans="1:14" ht="25" customHeight="1">
      <c r="A172" s="2"/>
      <c r="B172" s="2"/>
      <c r="C172" s="16" t="s">
        <v>428</v>
      </c>
      <c r="D172" s="28">
        <v>47.3</v>
      </c>
      <c r="E172" s="28">
        <v>47.9</v>
      </c>
      <c r="F172" s="28">
        <v>54.8</v>
      </c>
      <c r="G172" s="28">
        <v>55.6</v>
      </c>
      <c r="H172" s="24">
        <f>H80</f>
        <v>54.989000000000004</v>
      </c>
      <c r="I172" s="24">
        <f>I80</f>
        <v>51.50481700000001</v>
      </c>
      <c r="J172" s="24">
        <f>J80</f>
        <v>47.954984667000005</v>
      </c>
      <c r="K172" s="24">
        <f>K80</f>
        <v>45.262440083350015</v>
      </c>
      <c r="L172" s="24">
        <f>L80</f>
        <v>43.375562087517508</v>
      </c>
      <c r="M172" s="2"/>
      <c r="N172" s="52"/>
    </row>
    <row r="173" spans="1:14" ht="25" customHeight="1">
      <c r="A173" s="2"/>
      <c r="B173" s="2"/>
      <c r="C173" s="16" t="s">
        <v>520</v>
      </c>
      <c r="D173" s="28">
        <v>0.8</v>
      </c>
      <c r="E173" s="28">
        <v>0.5</v>
      </c>
      <c r="F173" s="28">
        <v>0.2</v>
      </c>
      <c r="G173" s="28">
        <v>1</v>
      </c>
      <c r="H173" s="24">
        <f>H432</f>
        <v>0</v>
      </c>
      <c r="I173" s="24">
        <f>I151</f>
        <v>0</v>
      </c>
      <c r="J173" s="24">
        <f>J151</f>
        <v>0</v>
      </c>
      <c r="K173" s="24">
        <f>K151</f>
        <v>0</v>
      </c>
      <c r="L173" s="24">
        <f>L151</f>
        <v>0</v>
      </c>
      <c r="M173" s="2"/>
      <c r="N173" s="52"/>
    </row>
    <row r="174" spans="1:14" ht="25" customHeight="1">
      <c r="A174" s="2"/>
      <c r="B174" s="2"/>
      <c r="C174" s="16" t="s">
        <v>521</v>
      </c>
      <c r="D174" s="28">
        <v>-77.900000000000006</v>
      </c>
      <c r="E174" s="28">
        <v>-87.5</v>
      </c>
      <c r="F174" s="28">
        <v>-96.6</v>
      </c>
      <c r="G174" s="28">
        <v>-97.2</v>
      </c>
      <c r="H174" s="24">
        <f>-SUM(H171:H173)</f>
        <v>-89.577866666666665</v>
      </c>
      <c r="I174" s="24">
        <f>-SUM(I171:I173)</f>
        <v>-82.179817000000014</v>
      </c>
      <c r="J174" s="24">
        <f>-SUM(J171:J173)</f>
        <v>-80.485859667</v>
      </c>
      <c r="K174" s="24">
        <f>-SUM(K171:K173)</f>
        <v>-78.562440083350012</v>
      </c>
      <c r="L174" s="24">
        <f>-SUM(L171:L173)</f>
        <v>-76.675562087517505</v>
      </c>
      <c r="M174" s="2"/>
      <c r="N174" s="52"/>
    </row>
    <row r="175" spans="1:14" ht="25" customHeight="1">
      <c r="A175" s="2"/>
      <c r="B175" s="2"/>
      <c r="C175" s="16"/>
      <c r="D175" s="3"/>
      <c r="E175" s="3"/>
      <c r="F175" s="3"/>
      <c r="G175" s="3"/>
      <c r="H175" s="24"/>
      <c r="I175" s="24"/>
      <c r="J175" s="24"/>
      <c r="K175" s="24"/>
      <c r="L175" s="24"/>
      <c r="M175" s="2"/>
      <c r="N175" s="52"/>
    </row>
    <row r="176" spans="1:14" ht="25" customHeight="1">
      <c r="A176" s="2"/>
      <c r="B176" s="2"/>
      <c r="C176" s="16" t="s">
        <v>522</v>
      </c>
      <c r="D176" s="3"/>
      <c r="E176" s="3"/>
      <c r="F176" s="3"/>
      <c r="G176" s="3"/>
      <c r="H176" s="24"/>
      <c r="I176" s="24">
        <f>I153</f>
        <v>300</v>
      </c>
      <c r="J176" s="24">
        <f>I178</f>
        <v>300</v>
      </c>
      <c r="K176" s="24">
        <f>J178</f>
        <v>0</v>
      </c>
      <c r="L176" s="24">
        <f>K178</f>
        <v>0</v>
      </c>
      <c r="M176" s="2"/>
      <c r="N176" s="52"/>
    </row>
    <row r="177" spans="1:14" ht="25" customHeight="1">
      <c r="A177" s="2"/>
      <c r="B177" s="2"/>
      <c r="C177" s="16" t="s">
        <v>523</v>
      </c>
      <c r="D177" s="3"/>
      <c r="E177" s="3"/>
      <c r="F177" s="3"/>
      <c r="G177" s="3"/>
      <c r="H177" s="24"/>
      <c r="I177" s="24">
        <f>0</f>
        <v>0</v>
      </c>
      <c r="J177" s="24">
        <f>-J176</f>
        <v>-300</v>
      </c>
      <c r="K177" s="24">
        <f>0</f>
        <v>0</v>
      </c>
      <c r="L177" s="24">
        <f>0</f>
        <v>0</v>
      </c>
      <c r="M177" s="2"/>
      <c r="N177" s="52"/>
    </row>
    <row r="178" spans="1:14" ht="25" customHeight="1">
      <c r="A178" s="2"/>
      <c r="B178" s="2"/>
      <c r="C178" s="16" t="s">
        <v>524</v>
      </c>
      <c r="D178" s="3"/>
      <c r="E178" s="3"/>
      <c r="F178" s="3"/>
      <c r="G178" s="3"/>
      <c r="H178" s="24"/>
      <c r="I178" s="24">
        <f>SUM(I176:I177)</f>
        <v>300</v>
      </c>
      <c r="J178" s="24">
        <f>SUM(J176:J177)</f>
        <v>0</v>
      </c>
      <c r="K178" s="24">
        <f>SUM(K176:K177)</f>
        <v>0</v>
      </c>
      <c r="L178" s="24">
        <f>SUM(L176:L177)</f>
        <v>0</v>
      </c>
      <c r="M178" s="2"/>
      <c r="N178" s="52"/>
    </row>
    <row r="179" spans="1:14" ht="25" customHeight="1">
      <c r="A179" s="2"/>
      <c r="B179" s="2"/>
      <c r="C179" s="16" t="s">
        <v>525</v>
      </c>
      <c r="D179" s="3"/>
      <c r="E179" s="3"/>
      <c r="F179" s="3"/>
      <c r="G179" s="3"/>
      <c r="H179" s="24"/>
      <c r="I179" s="24">
        <f>0</f>
        <v>0</v>
      </c>
      <c r="J179" s="24">
        <f>I181</f>
        <v>0</v>
      </c>
      <c r="K179" s="24">
        <f>J181</f>
        <v>300</v>
      </c>
      <c r="L179" s="24">
        <f>K181</f>
        <v>300</v>
      </c>
      <c r="M179" s="2"/>
      <c r="N179" s="52"/>
    </row>
    <row r="180" spans="1:14" ht="25" customHeight="1">
      <c r="A180" s="2"/>
      <c r="B180" s="2"/>
      <c r="C180" s="16" t="s">
        <v>526</v>
      </c>
      <c r="D180" s="3"/>
      <c r="E180" s="3"/>
      <c r="F180" s="3"/>
      <c r="G180" s="3"/>
      <c r="H180" s="24"/>
      <c r="I180" s="30">
        <f>'01 Assumptions'!I38</f>
        <v>0</v>
      </c>
      <c r="J180" s="30">
        <f>'01 Assumptions'!J38</f>
        <v>300</v>
      </c>
      <c r="K180" s="30">
        <f>'01 Assumptions'!K38</f>
        <v>0</v>
      </c>
      <c r="L180" s="30">
        <f>'01 Assumptions'!L38</f>
        <v>0</v>
      </c>
      <c r="M180" s="2"/>
      <c r="N180" s="52"/>
    </row>
    <row r="181" spans="1:14" ht="25" customHeight="1">
      <c r="A181" s="2"/>
      <c r="B181" s="2"/>
      <c r="C181" s="16" t="s">
        <v>527</v>
      </c>
      <c r="D181" s="3"/>
      <c r="E181" s="3"/>
      <c r="F181" s="3"/>
      <c r="G181" s="3"/>
      <c r="H181" s="24"/>
      <c r="I181" s="24">
        <f>SUM(I179:I180)</f>
        <v>0</v>
      </c>
      <c r="J181" s="24">
        <f>SUM(J179:J180)</f>
        <v>300</v>
      </c>
      <c r="K181" s="24">
        <f>SUM(K179:K180)</f>
        <v>300</v>
      </c>
      <c r="L181" s="24">
        <f>SUM(L179:L180)</f>
        <v>300</v>
      </c>
      <c r="M181" s="2"/>
      <c r="N181" s="52"/>
    </row>
    <row r="182" spans="1:14" ht="25" customHeight="1">
      <c r="A182" s="2"/>
      <c r="B182" s="2"/>
      <c r="C182" s="16" t="s">
        <v>528</v>
      </c>
      <c r="D182" s="3"/>
      <c r="E182" s="3"/>
      <c r="F182" s="3"/>
      <c r="G182" s="3"/>
      <c r="H182" s="24"/>
      <c r="I182" s="24">
        <f>I154</f>
        <v>300</v>
      </c>
      <c r="J182" s="24">
        <f>I185</f>
        <v>300</v>
      </c>
      <c r="K182" s="24">
        <f>J185</f>
        <v>300</v>
      </c>
      <c r="L182" s="24">
        <f>K185</f>
        <v>300</v>
      </c>
      <c r="M182" s="2"/>
      <c r="N182" s="52"/>
    </row>
    <row r="183" spans="1:14" ht="25" customHeight="1">
      <c r="A183" s="2"/>
      <c r="B183" s="2"/>
      <c r="C183" s="16" t="s">
        <v>529</v>
      </c>
      <c r="D183" s="3"/>
      <c r="E183" s="3"/>
      <c r="F183" s="3"/>
      <c r="G183" s="3"/>
      <c r="H183" s="24"/>
      <c r="I183" s="24">
        <f>0</f>
        <v>0</v>
      </c>
      <c r="J183" s="24">
        <f>0</f>
        <v>0</v>
      </c>
      <c r="K183" s="24">
        <f>0</f>
        <v>0</v>
      </c>
      <c r="L183" s="24">
        <f>0</f>
        <v>0</v>
      </c>
      <c r="M183" s="2"/>
      <c r="N183" s="52"/>
    </row>
    <row r="184" spans="1:14" ht="25" customHeight="1">
      <c r="A184" s="2"/>
      <c r="B184" s="2"/>
      <c r="C184" s="16" t="s">
        <v>530</v>
      </c>
      <c r="D184" s="3"/>
      <c r="E184" s="3"/>
      <c r="F184" s="3"/>
      <c r="G184" s="3"/>
      <c r="H184" s="24"/>
      <c r="I184" s="24">
        <f>0</f>
        <v>0</v>
      </c>
      <c r="J184" s="24">
        <f>0</f>
        <v>0</v>
      </c>
      <c r="K184" s="24">
        <f>0</f>
        <v>0</v>
      </c>
      <c r="L184" s="24">
        <f>0</f>
        <v>0</v>
      </c>
      <c r="M184" s="2"/>
      <c r="N184" s="52"/>
    </row>
    <row r="185" spans="1:14" ht="25" customHeight="1">
      <c r="A185" s="2"/>
      <c r="B185" s="2"/>
      <c r="C185" s="16" t="s">
        <v>531</v>
      </c>
      <c r="D185" s="3"/>
      <c r="E185" s="3"/>
      <c r="F185" s="3"/>
      <c r="G185" s="3"/>
      <c r="H185" s="24"/>
      <c r="I185" s="24">
        <f>SUM(I182:I184)</f>
        <v>300</v>
      </c>
      <c r="J185" s="24">
        <f>SUM(J182:J184)</f>
        <v>300</v>
      </c>
      <c r="K185" s="24">
        <f>SUM(K182:K184)</f>
        <v>300</v>
      </c>
      <c r="L185" s="24">
        <f>SUM(L182:L184)</f>
        <v>300</v>
      </c>
      <c r="M185" s="2"/>
      <c r="N185" s="52"/>
    </row>
    <row r="186" spans="1:14" ht="25" customHeight="1">
      <c r="A186" s="2"/>
      <c r="B186" s="2"/>
      <c r="C186" s="16" t="s">
        <v>532</v>
      </c>
      <c r="D186" s="3"/>
      <c r="E186" s="3"/>
      <c r="F186" s="3"/>
      <c r="G186" s="3"/>
      <c r="H186" s="24"/>
      <c r="I186" s="30">
        <f>'01 Assumptions'!I34</f>
        <v>96</v>
      </c>
      <c r="J186" s="30">
        <f>'01 Assumptions'!J34</f>
        <v>96</v>
      </c>
      <c r="K186" s="30">
        <f>'01 Assumptions'!K34</f>
        <v>96</v>
      </c>
      <c r="L186" s="30">
        <f>'01 Assumptions'!L34</f>
        <v>96</v>
      </c>
      <c r="M186" s="2"/>
      <c r="N186" s="52"/>
    </row>
    <row r="187" spans="1:14" ht="25" customHeight="1">
      <c r="A187" s="2"/>
      <c r="B187" s="2"/>
      <c r="C187" s="16" t="s">
        <v>533</v>
      </c>
      <c r="D187" s="3"/>
      <c r="E187" s="3"/>
      <c r="F187" s="3"/>
      <c r="G187" s="3"/>
      <c r="H187" s="24"/>
      <c r="I187" s="24">
        <f>SUM(I178,I181,I185,I186)</f>
        <v>696</v>
      </c>
      <c r="J187" s="24">
        <f>SUM(J178,J181,J185,J186)</f>
        <v>696</v>
      </c>
      <c r="K187" s="24">
        <f>SUM(K178,K181,K185,K186)</f>
        <v>696</v>
      </c>
      <c r="L187" s="24">
        <f>SUM(L178,L181,L185,L186)</f>
        <v>696</v>
      </c>
      <c r="M187" s="2"/>
      <c r="N187" s="52"/>
    </row>
    <row r="188" spans="1:14" ht="25" customHeight="1">
      <c r="A188" s="2"/>
      <c r="B188" s="2"/>
      <c r="C188" s="16" t="s">
        <v>534</v>
      </c>
      <c r="D188" s="3"/>
      <c r="E188" s="3"/>
      <c r="F188" s="3"/>
      <c r="G188" s="3"/>
      <c r="H188" s="24"/>
      <c r="I188" s="30">
        <f>'01 Assumptions'!I39</f>
        <v>1</v>
      </c>
      <c r="J188" s="30">
        <f>'01 Assumptions'!J39</f>
        <v>1</v>
      </c>
      <c r="K188" s="30">
        <f>'01 Assumptions'!K39</f>
        <v>1</v>
      </c>
      <c r="L188" s="30">
        <f>'01 Assumptions'!L39</f>
        <v>1</v>
      </c>
      <c r="M188" s="2"/>
      <c r="N188" s="52"/>
    </row>
    <row r="189" spans="1:14" ht="25" customHeight="1">
      <c r="A189" s="2"/>
      <c r="B189" s="2"/>
      <c r="C189" s="16" t="s">
        <v>208</v>
      </c>
      <c r="D189" s="3"/>
      <c r="E189" s="3"/>
      <c r="F189" s="3"/>
      <c r="G189" s="3"/>
      <c r="H189" s="24"/>
      <c r="I189" s="24">
        <f>I178</f>
        <v>300</v>
      </c>
      <c r="J189" s="24">
        <f>0</f>
        <v>0</v>
      </c>
      <c r="K189" s="24">
        <f>0</f>
        <v>0</v>
      </c>
      <c r="L189" s="24">
        <f>L185</f>
        <v>300</v>
      </c>
      <c r="M189" s="2"/>
      <c r="N189" s="52"/>
    </row>
    <row r="190" spans="1:14" ht="25" customHeight="1">
      <c r="A190" s="2"/>
      <c r="B190" s="2"/>
      <c r="C190" s="16" t="s">
        <v>535</v>
      </c>
      <c r="D190" s="3"/>
      <c r="E190" s="3"/>
      <c r="F190" s="3"/>
      <c r="G190" s="3"/>
      <c r="H190" s="24"/>
      <c r="I190" s="24">
        <f>I178+I181+I185-I189</f>
        <v>300</v>
      </c>
      <c r="J190" s="24">
        <f>J178+J181+J185-J189</f>
        <v>600</v>
      </c>
      <c r="K190" s="24">
        <f>K178+K181+K185-K189</f>
        <v>600</v>
      </c>
      <c r="L190" s="24">
        <f>L178+L181+L185-L189</f>
        <v>300</v>
      </c>
      <c r="M190" s="2"/>
      <c r="N190" s="52"/>
    </row>
    <row r="191" spans="1:14" ht="25" customHeight="1">
      <c r="A191" s="2"/>
      <c r="B191" s="2"/>
      <c r="C191" s="16"/>
      <c r="D191" s="3"/>
      <c r="E191" s="3"/>
      <c r="F191" s="3"/>
      <c r="G191" s="3"/>
      <c r="H191" s="24"/>
      <c r="I191" s="24"/>
      <c r="J191" s="24"/>
      <c r="K191" s="24"/>
      <c r="L191" s="24"/>
      <c r="M191" s="2"/>
      <c r="N191" s="52"/>
    </row>
    <row r="192" spans="1:14" ht="25" customHeight="1">
      <c r="A192" s="2"/>
      <c r="B192" s="2"/>
      <c r="C192" s="57" t="s">
        <v>536</v>
      </c>
      <c r="D192" s="56"/>
      <c r="E192" s="56"/>
      <c r="F192" s="56"/>
      <c r="G192" s="56"/>
      <c r="H192" s="56"/>
      <c r="I192" s="56"/>
      <c r="J192" s="56"/>
      <c r="K192" s="56"/>
      <c r="L192" s="56"/>
      <c r="M192" s="2"/>
      <c r="N192" s="52"/>
    </row>
    <row r="193" spans="1:14" ht="25" customHeight="1">
      <c r="A193" s="2"/>
      <c r="B193" s="2"/>
      <c r="C193" s="16" t="s">
        <v>537</v>
      </c>
      <c r="D193" s="3"/>
      <c r="E193" s="3"/>
      <c r="F193" s="3"/>
      <c r="G193" s="3"/>
      <c r="H193" s="24">
        <f>G159</f>
        <v>808.9</v>
      </c>
      <c r="I193" s="24">
        <f>H159</f>
        <v>696</v>
      </c>
      <c r="J193" s="24">
        <f>I159</f>
        <v>696</v>
      </c>
      <c r="K193" s="24">
        <f>J159</f>
        <v>696</v>
      </c>
      <c r="L193" s="24">
        <f>K159</f>
        <v>696</v>
      </c>
      <c r="M193" s="2"/>
      <c r="N193" s="52"/>
    </row>
    <row r="194" spans="1:14" ht="25" customHeight="1">
      <c r="A194" s="2"/>
      <c r="B194" s="2"/>
      <c r="C194" s="16" t="s">
        <v>538</v>
      </c>
      <c r="D194" s="3"/>
      <c r="E194" s="3"/>
      <c r="F194" s="3"/>
      <c r="G194" s="3"/>
      <c r="H194" s="30">
        <f>'02 Model'!H127</f>
        <v>0</v>
      </c>
      <c r="I194" s="30">
        <f>'02 Model'!I127</f>
        <v>0</v>
      </c>
      <c r="J194" s="30">
        <f>'02 Model'!J127</f>
        <v>300</v>
      </c>
      <c r="K194" s="30">
        <f>'02 Model'!K127</f>
        <v>0</v>
      </c>
      <c r="L194" s="30">
        <f>'02 Model'!L127</f>
        <v>0</v>
      </c>
      <c r="M194" s="2"/>
      <c r="N194" s="52"/>
    </row>
    <row r="195" spans="1:14" ht="25" customHeight="1">
      <c r="A195" s="2"/>
      <c r="B195" s="2"/>
      <c r="C195" s="16" t="s">
        <v>539</v>
      </c>
      <c r="D195" s="3"/>
      <c r="E195" s="3"/>
      <c r="F195" s="3"/>
      <c r="G195" s="3"/>
      <c r="H195" s="30">
        <f>'02 Model'!H126</f>
        <v>-112.9</v>
      </c>
      <c r="I195" s="30">
        <f>'02 Model'!I126</f>
        <v>0</v>
      </c>
      <c r="J195" s="30">
        <f>'02 Model'!J126</f>
        <v>-300</v>
      </c>
      <c r="K195" s="30">
        <f>'02 Model'!K126</f>
        <v>0</v>
      </c>
      <c r="L195" s="30">
        <f>'02 Model'!L126</f>
        <v>0</v>
      </c>
      <c r="M195" s="2"/>
      <c r="N195" s="52"/>
    </row>
    <row r="196" spans="1:14" ht="25" customHeight="1">
      <c r="A196" s="2"/>
      <c r="B196" s="2"/>
      <c r="C196" s="16" t="s">
        <v>540</v>
      </c>
      <c r="D196" s="3"/>
      <c r="E196" s="3"/>
      <c r="F196" s="3"/>
      <c r="G196" s="3"/>
      <c r="H196" s="30">
        <f>'02 Model'!H119+'02 Model'!H120</f>
        <v>0</v>
      </c>
      <c r="I196" s="30">
        <f>'02 Model'!I119+'02 Model'!I120</f>
        <v>0</v>
      </c>
      <c r="J196" s="30">
        <f>'02 Model'!J119+'02 Model'!J120</f>
        <v>0</v>
      </c>
      <c r="K196" s="30">
        <f>'02 Model'!K119+'02 Model'!K120</f>
        <v>0</v>
      </c>
      <c r="L196" s="30">
        <f>'02 Model'!L119+'02 Model'!L120</f>
        <v>0</v>
      </c>
      <c r="M196" s="2"/>
      <c r="N196" s="52"/>
    </row>
    <row r="197" spans="1:14" ht="25" customHeight="1">
      <c r="A197" s="2"/>
      <c r="B197" s="2"/>
      <c r="C197" s="16" t="s">
        <v>541</v>
      </c>
      <c r="D197" s="3"/>
      <c r="E197" s="3"/>
      <c r="F197" s="3"/>
      <c r="G197" s="3"/>
      <c r="H197" s="24">
        <f>SUM(H193:H196)</f>
        <v>696</v>
      </c>
      <c r="I197" s="24">
        <f>SUM(I193:I196)</f>
        <v>696</v>
      </c>
      <c r="J197" s="24">
        <f>SUM(J193:J196)</f>
        <v>696</v>
      </c>
      <c r="K197" s="24">
        <f>SUM(K193:K196)</f>
        <v>696</v>
      </c>
      <c r="L197" s="24">
        <f>SUM(L193:L196)</f>
        <v>696</v>
      </c>
      <c r="M197" s="2"/>
      <c r="N197" s="52"/>
    </row>
    <row r="198" spans="1:14" ht="25" customHeight="1">
      <c r="A198" s="2"/>
      <c r="B198" s="2"/>
      <c r="C198" s="16" t="s">
        <v>542</v>
      </c>
      <c r="D198" s="3"/>
      <c r="E198" s="3"/>
      <c r="F198" s="3"/>
      <c r="G198" s="3"/>
      <c r="H198" s="29">
        <v>525</v>
      </c>
      <c r="I198" s="29">
        <v>525</v>
      </c>
      <c r="J198" s="29">
        <v>525</v>
      </c>
      <c r="K198" s="29">
        <v>525</v>
      </c>
      <c r="L198" s="29">
        <v>525</v>
      </c>
      <c r="M198" s="2"/>
      <c r="N198" s="52"/>
    </row>
    <row r="199" spans="1:14" ht="25" customHeight="1">
      <c r="A199" s="2"/>
      <c r="B199" s="2"/>
      <c r="C199" s="16" t="s">
        <v>543</v>
      </c>
      <c r="D199" s="3"/>
      <c r="E199" s="3"/>
      <c r="F199" s="3"/>
      <c r="G199" s="3"/>
      <c r="H199" s="30">
        <f>'01 Assumptions'!H39</f>
        <v>1</v>
      </c>
      <c r="I199" s="30">
        <f>'01 Assumptions'!I39</f>
        <v>1</v>
      </c>
      <c r="J199" s="30">
        <f>'01 Assumptions'!J39</f>
        <v>1</v>
      </c>
      <c r="K199" s="30">
        <f>'01 Assumptions'!K39</f>
        <v>1</v>
      </c>
      <c r="L199" s="30">
        <f>'01 Assumptions'!L39</f>
        <v>1</v>
      </c>
      <c r="M199" s="2"/>
      <c r="N199" s="52"/>
    </row>
    <row r="200" spans="1:14" ht="25" customHeight="1">
      <c r="A200" s="2"/>
      <c r="B200" s="2"/>
      <c r="C200" s="16"/>
      <c r="D200" s="3"/>
      <c r="E200" s="3"/>
      <c r="F200" s="3"/>
      <c r="G200" s="3"/>
      <c r="H200" s="24"/>
      <c r="I200" s="24"/>
      <c r="J200" s="24"/>
      <c r="K200" s="24"/>
      <c r="L200" s="24"/>
      <c r="M200" s="2"/>
      <c r="N200" s="52"/>
    </row>
    <row r="201" spans="1:14" ht="25" customHeight="1">
      <c r="A201" s="2"/>
      <c r="B201" s="2"/>
      <c r="C201" s="16"/>
      <c r="D201" s="3"/>
      <c r="E201" s="3"/>
      <c r="F201" s="3"/>
      <c r="G201" s="3"/>
      <c r="H201" s="24"/>
      <c r="I201" s="24"/>
      <c r="J201" s="24"/>
      <c r="K201" s="24"/>
      <c r="L201" s="24"/>
      <c r="M201" s="2"/>
      <c r="N201" s="52"/>
    </row>
    <row r="202" spans="1:14" ht="25" customHeight="1">
      <c r="A202" s="2"/>
      <c r="B202" s="2"/>
      <c r="C202" s="16"/>
      <c r="D202" s="3"/>
      <c r="E202" s="3"/>
      <c r="F202" s="3"/>
      <c r="G202" s="3"/>
      <c r="H202" s="24"/>
      <c r="I202" s="24"/>
      <c r="J202" s="24"/>
      <c r="K202" s="24"/>
      <c r="L202" s="24"/>
      <c r="M202" s="2"/>
      <c r="N202" s="52"/>
    </row>
    <row r="203" spans="1:14" ht="25" customHeight="1">
      <c r="A203" s="2"/>
      <c r="B203" s="2"/>
      <c r="C203" s="41" t="s">
        <v>544</v>
      </c>
      <c r="D203" s="7"/>
      <c r="E203" s="7"/>
      <c r="F203" s="7"/>
      <c r="G203" s="7"/>
      <c r="H203" s="7"/>
      <c r="I203" s="7"/>
      <c r="J203" s="7"/>
      <c r="K203" s="7"/>
      <c r="L203" s="7"/>
      <c r="M203" s="2"/>
      <c r="N203" s="52" t="s">
        <v>343</v>
      </c>
    </row>
    <row r="204" spans="1:14" ht="25" customHeight="1">
      <c r="A204" s="2"/>
      <c r="B204" s="2"/>
      <c r="C204" s="16" t="s">
        <v>545</v>
      </c>
      <c r="D204" s="3"/>
      <c r="E204" s="3"/>
      <c r="F204" s="3"/>
      <c r="G204" s="3"/>
      <c r="H204" s="29">
        <v>4</v>
      </c>
      <c r="I204" s="30">
        <f>I301/'01 Assumptions'!I47</f>
        <v>3.2963033949501526</v>
      </c>
      <c r="J204" s="30">
        <f>J301/'01 Assumptions'!J47</f>
        <v>4.5297175504202434</v>
      </c>
      <c r="K204" s="30">
        <f>K301/'01 Assumptions'!K47</f>
        <v>3.2036570111663476</v>
      </c>
      <c r="L204" s="30">
        <f>L301/'01 Assumptions'!L47</f>
        <v>4.2645025813980437</v>
      </c>
      <c r="M204" s="2"/>
      <c r="N204" s="52" t="s">
        <v>546</v>
      </c>
    </row>
    <row r="205" spans="1:14" ht="25" customHeight="1">
      <c r="A205" s="2"/>
      <c r="B205" s="2"/>
      <c r="C205" s="16" t="s">
        <v>547</v>
      </c>
      <c r="D205" s="3"/>
      <c r="E205" s="3"/>
      <c r="F205" s="3"/>
      <c r="G205" s="3"/>
      <c r="H205" s="29">
        <v>36</v>
      </c>
      <c r="I205" s="29">
        <v>38</v>
      </c>
      <c r="J205" s="29">
        <v>40</v>
      </c>
      <c r="K205" s="29">
        <v>42</v>
      </c>
      <c r="L205" s="29">
        <v>44</v>
      </c>
      <c r="M205" s="2"/>
      <c r="N205" s="52" t="s">
        <v>548</v>
      </c>
    </row>
    <row r="206" spans="1:14" ht="25" customHeight="1">
      <c r="A206" s="2"/>
      <c r="B206" s="2"/>
      <c r="C206" s="16" t="s">
        <v>549</v>
      </c>
      <c r="D206" s="3"/>
      <c r="E206" s="3"/>
      <c r="F206" s="3"/>
      <c r="G206" s="3"/>
      <c r="H206" s="29">
        <v>45</v>
      </c>
      <c r="I206" s="29">
        <v>47</v>
      </c>
      <c r="J206" s="29">
        <v>49</v>
      </c>
      <c r="K206" s="29">
        <v>51</v>
      </c>
      <c r="L206" s="29">
        <v>53</v>
      </c>
      <c r="M206" s="2"/>
      <c r="N206" s="52" t="s">
        <v>550</v>
      </c>
    </row>
    <row r="207" spans="1:14" ht="25" customHeight="1">
      <c r="A207" s="2"/>
      <c r="B207" s="2"/>
      <c r="C207" s="16" t="s">
        <v>551</v>
      </c>
      <c r="D207" s="3"/>
      <c r="E207" s="3"/>
      <c r="F207" s="3"/>
      <c r="G207" s="3"/>
      <c r="H207" s="29">
        <v>15</v>
      </c>
      <c r="I207" s="29">
        <v>16</v>
      </c>
      <c r="J207" s="29">
        <v>17</v>
      </c>
      <c r="K207" s="29">
        <v>18</v>
      </c>
      <c r="L207" s="29">
        <v>19</v>
      </c>
      <c r="M207" s="2"/>
      <c r="N207" s="52" t="s">
        <v>552</v>
      </c>
    </row>
    <row r="208" spans="1:14" ht="25" customHeight="1">
      <c r="A208" s="2"/>
      <c r="B208" s="2"/>
      <c r="C208" s="16" t="s">
        <v>553</v>
      </c>
      <c r="D208" s="3"/>
      <c r="E208" s="3"/>
      <c r="F208" s="3"/>
      <c r="G208" s="3"/>
      <c r="H208" s="29">
        <v>94</v>
      </c>
      <c r="I208" s="29">
        <v>98</v>
      </c>
      <c r="J208" s="29">
        <v>102</v>
      </c>
      <c r="K208" s="29">
        <v>107</v>
      </c>
      <c r="L208" s="29">
        <v>112</v>
      </c>
      <c r="M208" s="2"/>
      <c r="N208" s="52" t="s">
        <v>554</v>
      </c>
    </row>
    <row r="209" spans="1:14" ht="25" customHeight="1">
      <c r="A209" s="2"/>
      <c r="B209" s="2"/>
      <c r="C209" s="16" t="s">
        <v>555</v>
      </c>
      <c r="D209" s="3"/>
      <c r="E209" s="3"/>
      <c r="F209" s="3"/>
      <c r="G209" s="3"/>
      <c r="H209" s="29">
        <v>158</v>
      </c>
      <c r="I209" s="29">
        <v>165</v>
      </c>
      <c r="J209" s="29">
        <v>172</v>
      </c>
      <c r="K209" s="29">
        <v>180</v>
      </c>
      <c r="L209" s="29">
        <v>188</v>
      </c>
      <c r="M209" s="2"/>
      <c r="N209" s="52" t="s">
        <v>556</v>
      </c>
    </row>
    <row r="210" spans="1:14" ht="25" customHeight="1">
      <c r="A210" s="2"/>
      <c r="B210" s="2"/>
      <c r="C210" s="16" t="s">
        <v>557</v>
      </c>
      <c r="D210" s="3"/>
      <c r="E210" s="3"/>
      <c r="F210" s="3"/>
      <c r="G210" s="3"/>
      <c r="H210" s="33">
        <v>1.0999999999999999E-2</v>
      </c>
      <c r="I210" s="33">
        <v>1.0999999999999999E-2</v>
      </c>
      <c r="J210" s="33">
        <v>1.0999999999999999E-2</v>
      </c>
      <c r="K210" s="33">
        <v>1.0999999999999999E-2</v>
      </c>
      <c r="L210" s="33">
        <v>1.0999999999999999E-2</v>
      </c>
      <c r="M210" s="2"/>
      <c r="N210" s="52" t="s">
        <v>558</v>
      </c>
    </row>
    <row r="211" spans="1:14" ht="25" customHeight="1">
      <c r="A211" s="2"/>
      <c r="B211" s="2"/>
      <c r="C211" s="16" t="s">
        <v>559</v>
      </c>
      <c r="D211" s="3"/>
      <c r="E211" s="3"/>
      <c r="F211" s="3"/>
      <c r="G211" s="3"/>
      <c r="H211" s="29">
        <v>23</v>
      </c>
      <c r="I211" s="24">
        <f>I278</f>
        <v>23</v>
      </c>
      <c r="J211" s="24">
        <f>J278</f>
        <v>23</v>
      </c>
      <c r="K211" s="24">
        <f>K278</f>
        <v>23</v>
      </c>
      <c r="L211" s="24">
        <f>L278</f>
        <v>23</v>
      </c>
      <c r="M211" s="2"/>
      <c r="N211" s="52" t="s">
        <v>560</v>
      </c>
    </row>
    <row r="212" spans="1:14" ht="25" customHeight="1">
      <c r="A212" s="2"/>
      <c r="B212" s="2"/>
      <c r="C212" s="16" t="s">
        <v>561</v>
      </c>
      <c r="D212" s="3"/>
      <c r="E212" s="3"/>
      <c r="F212" s="3"/>
      <c r="G212" s="3"/>
      <c r="H212" s="29">
        <v>58.5</v>
      </c>
      <c r="I212" s="24">
        <f>I286</f>
        <v>58.5</v>
      </c>
      <c r="J212" s="24">
        <f>J286</f>
        <v>58.5</v>
      </c>
      <c r="K212" s="24">
        <f>K286</f>
        <v>58.5</v>
      </c>
      <c r="L212" s="24">
        <f>L286</f>
        <v>58.5</v>
      </c>
      <c r="M212" s="2"/>
      <c r="N212" s="52" t="s">
        <v>562</v>
      </c>
    </row>
    <row r="213" spans="1:14" ht="25" customHeight="1">
      <c r="A213" s="2"/>
      <c r="B213" s="2"/>
      <c r="C213" s="16" t="s">
        <v>563</v>
      </c>
      <c r="D213" s="3"/>
      <c r="E213" s="3"/>
      <c r="F213" s="3"/>
      <c r="G213" s="3"/>
      <c r="H213" s="29">
        <v>35</v>
      </c>
      <c r="I213" s="24">
        <f>I294</f>
        <v>35</v>
      </c>
      <c r="J213" s="24">
        <f>J294</f>
        <v>35</v>
      </c>
      <c r="K213" s="24">
        <f>K294</f>
        <v>35</v>
      </c>
      <c r="L213" s="24">
        <f>L294</f>
        <v>35</v>
      </c>
      <c r="M213" s="2"/>
      <c r="N213" s="52" t="s">
        <v>564</v>
      </c>
    </row>
    <row r="214" spans="1:14" ht="25" customHeight="1">
      <c r="A214" s="2"/>
      <c r="B214" s="2"/>
      <c r="C214" s="16" t="s">
        <v>565</v>
      </c>
      <c r="D214" s="3"/>
      <c r="E214" s="3"/>
      <c r="F214" s="3"/>
      <c r="G214" s="3"/>
      <c r="H214" s="29">
        <v>6.4</v>
      </c>
      <c r="I214" s="29">
        <v>6.4</v>
      </c>
      <c r="J214" s="29">
        <v>6.4</v>
      </c>
      <c r="K214" s="29">
        <v>6.4</v>
      </c>
      <c r="L214" s="29">
        <v>6.4</v>
      </c>
      <c r="M214" s="2"/>
      <c r="N214" s="52" t="s">
        <v>566</v>
      </c>
    </row>
    <row r="215" spans="1:14" ht="25" customHeight="1">
      <c r="A215" s="2"/>
      <c r="B215" s="2"/>
      <c r="C215" s="16" t="s">
        <v>567</v>
      </c>
      <c r="D215" s="3"/>
      <c r="E215" s="3"/>
      <c r="F215" s="3"/>
      <c r="G215" s="3"/>
      <c r="H215" s="29">
        <v>0</v>
      </c>
      <c r="I215" s="24">
        <f>I258</f>
        <v>0</v>
      </c>
      <c r="J215" s="24">
        <f>J258</f>
        <v>0</v>
      </c>
      <c r="K215" s="24">
        <f>K258</f>
        <v>0</v>
      </c>
      <c r="L215" s="24">
        <f>L258</f>
        <v>0</v>
      </c>
      <c r="M215" s="2"/>
      <c r="N215" s="52" t="s">
        <v>568</v>
      </c>
    </row>
    <row r="216" spans="1:14" ht="25" customHeight="1">
      <c r="A216" s="2"/>
      <c r="B216" s="2"/>
      <c r="C216" s="16" t="s">
        <v>569</v>
      </c>
      <c r="D216" s="3"/>
      <c r="E216" s="3"/>
      <c r="F216" s="3"/>
      <c r="G216" s="3"/>
      <c r="H216" s="29">
        <v>35.5</v>
      </c>
      <c r="I216" s="29">
        <v>35.5</v>
      </c>
      <c r="J216" s="29">
        <v>35.5</v>
      </c>
      <c r="K216" s="29">
        <v>35.5</v>
      </c>
      <c r="L216" s="29">
        <v>35.5</v>
      </c>
      <c r="M216" s="2"/>
      <c r="N216" s="52" t="s">
        <v>570</v>
      </c>
    </row>
    <row r="217" spans="1:14" ht="25" customHeight="1">
      <c r="A217" s="2"/>
      <c r="B217" s="2"/>
      <c r="C217" s="16" t="s">
        <v>571</v>
      </c>
      <c r="D217" s="3"/>
      <c r="E217" s="3"/>
      <c r="F217" s="3"/>
      <c r="G217" s="3"/>
      <c r="H217" s="29">
        <v>10</v>
      </c>
      <c r="I217" s="24">
        <f>-I260</f>
        <v>40.882254583333179</v>
      </c>
      <c r="J217" s="24">
        <f>-J260</f>
        <v>40.882254583333179</v>
      </c>
      <c r="K217" s="24">
        <f>-K260</f>
        <v>40.882254583333179</v>
      </c>
      <c r="L217" s="24">
        <f>-L260</f>
        <v>40.882254583333179</v>
      </c>
      <c r="M217" s="2"/>
      <c r="N217" s="52" t="s">
        <v>572</v>
      </c>
    </row>
    <row r="218" spans="1:14" ht="25" customHeight="1">
      <c r="A218" s="2"/>
      <c r="B218" s="2"/>
      <c r="C218" s="16" t="s">
        <v>573</v>
      </c>
      <c r="D218" s="3"/>
      <c r="E218" s="3"/>
      <c r="F218" s="3"/>
      <c r="G218" s="3"/>
      <c r="H218" s="29">
        <v>17.600000000000001</v>
      </c>
      <c r="I218" s="29">
        <v>17.600000000000001</v>
      </c>
      <c r="J218" s="29">
        <v>17.600000000000001</v>
      </c>
      <c r="K218" s="29">
        <v>17.600000000000001</v>
      </c>
      <c r="L218" s="29">
        <v>17.600000000000001</v>
      </c>
      <c r="M218" s="2"/>
      <c r="N218" s="52" t="s">
        <v>574</v>
      </c>
    </row>
    <row r="219" spans="1:14" ht="25" customHeight="1">
      <c r="A219" s="2"/>
      <c r="B219" s="2"/>
      <c r="C219" s="16" t="s">
        <v>575</v>
      </c>
      <c r="D219" s="3"/>
      <c r="E219" s="3"/>
      <c r="F219" s="3"/>
      <c r="G219" s="3"/>
      <c r="H219" s="29">
        <v>38.200000000000003</v>
      </c>
      <c r="I219" s="29">
        <v>38.200000000000003</v>
      </c>
      <c r="J219" s="29">
        <v>38.200000000000003</v>
      </c>
      <c r="K219" s="29">
        <v>38.200000000000003</v>
      </c>
      <c r="L219" s="29">
        <v>38.200000000000003</v>
      </c>
      <c r="M219" s="2"/>
      <c r="N219" s="52" t="s">
        <v>576</v>
      </c>
    </row>
    <row r="220" spans="1:14" ht="25" customHeight="1">
      <c r="A220" s="2"/>
      <c r="B220" s="2"/>
      <c r="C220" s="16" t="s">
        <v>577</v>
      </c>
      <c r="D220" s="3"/>
      <c r="E220" s="3"/>
      <c r="F220" s="3"/>
      <c r="G220" s="3"/>
      <c r="H220" s="29">
        <v>0.2</v>
      </c>
      <c r="I220" s="29">
        <v>0.2</v>
      </c>
      <c r="J220" s="29">
        <v>0.2</v>
      </c>
      <c r="K220" s="29">
        <v>0.2</v>
      </c>
      <c r="L220" s="29">
        <v>0.2</v>
      </c>
      <c r="M220" s="2"/>
      <c r="N220" s="52" t="s">
        <v>578</v>
      </c>
    </row>
    <row r="221" spans="1:14" ht="25" customHeight="1">
      <c r="A221" s="2"/>
      <c r="B221" s="2"/>
      <c r="C221" s="16" t="s">
        <v>579</v>
      </c>
      <c r="D221" s="3"/>
      <c r="E221" s="3"/>
      <c r="F221" s="3"/>
      <c r="G221" s="3"/>
      <c r="H221" s="29">
        <v>0</v>
      </c>
      <c r="I221" s="29">
        <v>0</v>
      </c>
      <c r="J221" s="29">
        <v>0</v>
      </c>
      <c r="K221" s="29">
        <v>0</v>
      </c>
      <c r="L221" s="29">
        <v>0</v>
      </c>
      <c r="M221" s="2"/>
      <c r="N221" s="52" t="s">
        <v>580</v>
      </c>
    </row>
    <row r="222" spans="1:14" ht="25" customHeight="1">
      <c r="A222" s="2"/>
      <c r="B222" s="2"/>
      <c r="C222" s="16" t="s">
        <v>581</v>
      </c>
      <c r="D222" s="3"/>
      <c r="E222" s="3"/>
      <c r="F222" s="3"/>
      <c r="G222" s="3"/>
      <c r="H222" s="29">
        <v>0</v>
      </c>
      <c r="I222" s="29">
        <v>0</v>
      </c>
      <c r="J222" s="29">
        <v>0</v>
      </c>
      <c r="K222" s="29">
        <v>0</v>
      </c>
      <c r="L222" s="29">
        <v>0</v>
      </c>
      <c r="M222" s="2"/>
      <c r="N222" s="52" t="s">
        <v>582</v>
      </c>
    </row>
    <row r="223" spans="1:14" ht="25" customHeight="1">
      <c r="A223" s="2"/>
      <c r="B223" s="2"/>
      <c r="C223" s="16" t="s">
        <v>583</v>
      </c>
      <c r="D223" s="3"/>
      <c r="E223" s="3"/>
      <c r="F223" s="3"/>
      <c r="G223" s="3"/>
      <c r="H223" s="29">
        <v>0</v>
      </c>
      <c r="I223" s="29">
        <v>0</v>
      </c>
      <c r="J223" s="29">
        <v>0</v>
      </c>
      <c r="K223" s="29">
        <v>0</v>
      </c>
      <c r="L223" s="29">
        <v>0</v>
      </c>
      <c r="M223" s="2"/>
      <c r="N223" s="52" t="s">
        <v>584</v>
      </c>
    </row>
    <row r="224" spans="1:14" ht="25" customHeight="1">
      <c r="A224" s="2"/>
      <c r="B224" s="2"/>
      <c r="C224" s="16" t="s">
        <v>585</v>
      </c>
      <c r="D224" s="3"/>
      <c r="E224" s="3"/>
      <c r="F224" s="3"/>
      <c r="G224" s="3"/>
      <c r="H224" s="29">
        <v>0</v>
      </c>
      <c r="I224" s="29">
        <v>0</v>
      </c>
      <c r="J224" s="29">
        <v>0</v>
      </c>
      <c r="K224" s="29">
        <v>0</v>
      </c>
      <c r="L224" s="29">
        <v>0</v>
      </c>
      <c r="M224" s="2"/>
      <c r="N224" s="52" t="s">
        <v>586</v>
      </c>
    </row>
    <row r="225" spans="1:14" ht="25" customHeight="1">
      <c r="A225" s="2"/>
      <c r="B225" s="2"/>
      <c r="C225" s="16" t="s">
        <v>587</v>
      </c>
      <c r="D225" s="3"/>
      <c r="E225" s="3"/>
      <c r="F225" s="3"/>
      <c r="G225" s="3"/>
      <c r="H225" s="29">
        <v>8.5</v>
      </c>
      <c r="I225" s="30">
        <f>-'02 Model'!I130</f>
        <v>7.7589540935888062</v>
      </c>
      <c r="J225" s="30">
        <f>-'02 Model'!J130</f>
        <v>8.2412339028729082</v>
      </c>
      <c r="K225" s="30">
        <f>-'02 Model'!K130</f>
        <v>8.6875858880909842</v>
      </c>
      <c r="L225" s="30">
        <f>-'02 Model'!L130</f>
        <v>9.1354043323929535</v>
      </c>
      <c r="M225" s="2"/>
      <c r="N225" s="52" t="s">
        <v>588</v>
      </c>
    </row>
    <row r="226" spans="1:14" ht="25" customHeight="1">
      <c r="A226" s="2"/>
      <c r="B226" s="2"/>
      <c r="C226" s="16"/>
      <c r="D226" s="3"/>
      <c r="E226" s="3"/>
      <c r="F226" s="3"/>
      <c r="G226" s="3"/>
      <c r="H226" s="24"/>
      <c r="I226" s="24"/>
      <c r="J226" s="24"/>
      <c r="K226" s="24"/>
      <c r="L226" s="24"/>
      <c r="M226" s="2"/>
      <c r="N226" s="52"/>
    </row>
    <row r="227" spans="1:14" ht="25" customHeight="1">
      <c r="A227" s="2"/>
      <c r="B227" s="2"/>
      <c r="C227" s="16" t="s">
        <v>589</v>
      </c>
      <c r="D227" s="3"/>
      <c r="E227" s="28">
        <v>12.9</v>
      </c>
      <c r="F227" s="28">
        <v>12.7</v>
      </c>
      <c r="G227" s="28">
        <v>12.4</v>
      </c>
      <c r="H227" s="24">
        <f>G232</f>
        <v>12.3</v>
      </c>
      <c r="I227" s="24">
        <f>H232</f>
        <v>11.9</v>
      </c>
      <c r="J227" s="24">
        <f>I232</f>
        <v>11.570369660504985</v>
      </c>
      <c r="K227" s="24">
        <f>J232</f>
        <v>11.11739790546296</v>
      </c>
      <c r="L227" s="24">
        <f>K232</f>
        <v>10.797032204346326</v>
      </c>
      <c r="M227" s="2"/>
      <c r="N227" s="52"/>
    </row>
    <row r="228" spans="1:14" ht="25" customHeight="1">
      <c r="A228" s="2"/>
      <c r="B228" s="2"/>
      <c r="C228" s="16" t="s">
        <v>590</v>
      </c>
      <c r="D228" s="3"/>
      <c r="E228" s="28">
        <v>0.1</v>
      </c>
      <c r="F228" s="28">
        <v>0</v>
      </c>
      <c r="G228" s="28">
        <v>0</v>
      </c>
      <c r="H228" s="24">
        <f>0</f>
        <v>0</v>
      </c>
      <c r="I228" s="24">
        <f>0</f>
        <v>0</v>
      </c>
      <c r="J228" s="24">
        <f>0</f>
        <v>0</v>
      </c>
      <c r="K228" s="24">
        <f>0</f>
        <v>0</v>
      </c>
      <c r="L228" s="24">
        <f>0</f>
        <v>0</v>
      </c>
      <c r="M228" s="2"/>
      <c r="N228" s="52"/>
    </row>
    <row r="229" spans="1:14" ht="25" customHeight="1">
      <c r="A229" s="2"/>
      <c r="B229" s="2"/>
      <c r="C229" s="16" t="s">
        <v>591</v>
      </c>
      <c r="D229" s="3"/>
      <c r="E229" s="28">
        <v>-0.3</v>
      </c>
      <c r="F229" s="28">
        <v>-0.3</v>
      </c>
      <c r="G229" s="28">
        <v>-0.1</v>
      </c>
      <c r="H229" s="24">
        <f>-H204*H430</f>
        <v>-0.4</v>
      </c>
      <c r="I229" s="24">
        <f>-I204*I430</f>
        <v>-0.3296303394950153</v>
      </c>
      <c r="J229" s="24">
        <f>-J204*J430</f>
        <v>-0.45297175504202436</v>
      </c>
      <c r="K229" s="24">
        <f>-K204*K430</f>
        <v>-0.32036570111663476</v>
      </c>
      <c r="L229" s="24">
        <f>-L204*L430</f>
        <v>-0.42645025813980442</v>
      </c>
      <c r="M229" s="2"/>
      <c r="N229" s="52"/>
    </row>
    <row r="230" spans="1:14" ht="25" customHeight="1">
      <c r="A230" s="2"/>
      <c r="B230" s="2"/>
      <c r="C230" s="16" t="s">
        <v>592</v>
      </c>
      <c r="D230" s="3"/>
      <c r="E230" s="28">
        <v>0</v>
      </c>
      <c r="F230" s="28">
        <v>0</v>
      </c>
      <c r="G230" s="28">
        <v>440.8</v>
      </c>
      <c r="H230" s="24">
        <f>0</f>
        <v>0</v>
      </c>
      <c r="I230" s="24">
        <f>0</f>
        <v>0</v>
      </c>
      <c r="J230" s="24">
        <f>0</f>
        <v>0</v>
      </c>
      <c r="K230" s="24">
        <f>0</f>
        <v>0</v>
      </c>
      <c r="L230" s="24">
        <f>0</f>
        <v>0</v>
      </c>
      <c r="M230" s="2"/>
      <c r="N230" s="52"/>
    </row>
    <row r="231" spans="1:14" ht="25" customHeight="1">
      <c r="A231" s="2"/>
      <c r="B231" s="2"/>
      <c r="C231" s="16" t="s">
        <v>593</v>
      </c>
      <c r="D231" s="3"/>
      <c r="E231" s="28">
        <v>0</v>
      </c>
      <c r="F231" s="28">
        <v>0</v>
      </c>
      <c r="G231" s="28">
        <v>-440.8</v>
      </c>
      <c r="H231" s="24">
        <f>0</f>
        <v>0</v>
      </c>
      <c r="I231" s="24">
        <f>0</f>
        <v>0</v>
      </c>
      <c r="J231" s="24">
        <f>0</f>
        <v>0</v>
      </c>
      <c r="K231" s="24">
        <f>0</f>
        <v>0</v>
      </c>
      <c r="L231" s="24">
        <f>0</f>
        <v>0</v>
      </c>
      <c r="M231" s="2"/>
      <c r="N231" s="52"/>
    </row>
    <row r="232" spans="1:14" ht="25" customHeight="1">
      <c r="A232" s="2"/>
      <c r="B232" s="2"/>
      <c r="C232" s="16" t="s">
        <v>594</v>
      </c>
      <c r="D232" s="28">
        <v>12.9</v>
      </c>
      <c r="E232" s="28">
        <v>12.7</v>
      </c>
      <c r="F232" s="28">
        <v>12.4</v>
      </c>
      <c r="G232" s="28">
        <v>12.3</v>
      </c>
      <c r="H232" s="24">
        <f>SUM(H227:H231)</f>
        <v>11.9</v>
      </c>
      <c r="I232" s="24">
        <f>SUM(I227:I231)</f>
        <v>11.570369660504985</v>
      </c>
      <c r="J232" s="24">
        <f>SUM(J227:J231)</f>
        <v>11.11739790546296</v>
      </c>
      <c r="K232" s="24">
        <f>SUM(K227:K231)</f>
        <v>10.797032204346326</v>
      </c>
      <c r="L232" s="24">
        <f>SUM(L227:L231)</f>
        <v>10.370581946206523</v>
      </c>
      <c r="M232" s="2"/>
      <c r="N232" s="52"/>
    </row>
    <row r="233" spans="1:14" ht="25" customHeight="1">
      <c r="A233" s="2"/>
      <c r="B233" s="2"/>
      <c r="C233" s="16"/>
      <c r="D233" s="3"/>
      <c r="E233" s="3"/>
      <c r="F233" s="3"/>
      <c r="G233" s="3"/>
      <c r="H233" s="24"/>
      <c r="I233" s="24"/>
      <c r="J233" s="24"/>
      <c r="K233" s="24"/>
      <c r="L233" s="24"/>
      <c r="M233" s="2"/>
      <c r="N233" s="52"/>
    </row>
    <row r="234" spans="1:14" ht="25" customHeight="1">
      <c r="A234" s="2"/>
      <c r="B234" s="2"/>
      <c r="C234" s="16" t="s">
        <v>595</v>
      </c>
      <c r="D234" s="3"/>
      <c r="E234" s="3"/>
      <c r="F234" s="3"/>
      <c r="G234" s="3"/>
      <c r="H234" s="24"/>
      <c r="I234" s="24"/>
      <c r="J234" s="24"/>
      <c r="K234" s="24"/>
      <c r="L234" s="24"/>
      <c r="M234" s="2"/>
      <c r="N234" s="52"/>
    </row>
    <row r="235" spans="1:14" ht="25" customHeight="1">
      <c r="A235" s="2"/>
      <c r="B235" s="2"/>
      <c r="C235" s="16" t="s">
        <v>596</v>
      </c>
      <c r="D235" s="3"/>
      <c r="E235" s="28">
        <v>17</v>
      </c>
      <c r="F235" s="28">
        <v>17.3</v>
      </c>
      <c r="G235" s="28">
        <v>17.600000000000001</v>
      </c>
      <c r="H235" s="24">
        <f>G238</f>
        <v>458.5</v>
      </c>
      <c r="I235" s="24">
        <f>H238</f>
        <v>458.9</v>
      </c>
      <c r="J235" s="24">
        <f>I238</f>
        <v>459.22963033949497</v>
      </c>
      <c r="K235" s="24">
        <f>J238</f>
        <v>459.682602094537</v>
      </c>
      <c r="L235" s="24">
        <f>K238</f>
        <v>460.00296779565366</v>
      </c>
      <c r="M235" s="2"/>
      <c r="N235" s="52"/>
    </row>
    <row r="236" spans="1:14" ht="25" customHeight="1">
      <c r="A236" s="2"/>
      <c r="B236" s="2"/>
      <c r="C236" s="16" t="s">
        <v>597</v>
      </c>
      <c r="D236" s="3"/>
      <c r="E236" s="28">
        <v>0.3</v>
      </c>
      <c r="F236" s="28">
        <v>0.3</v>
      </c>
      <c r="G236" s="28">
        <v>0.1</v>
      </c>
      <c r="H236" s="24">
        <f>-H229</f>
        <v>0.4</v>
      </c>
      <c r="I236" s="24">
        <f>-I229</f>
        <v>0.3296303394950153</v>
      </c>
      <c r="J236" s="24">
        <f>-J229</f>
        <v>0.45297175504202436</v>
      </c>
      <c r="K236" s="24">
        <f>-K229</f>
        <v>0.32036570111663476</v>
      </c>
      <c r="L236" s="24">
        <f>-L229</f>
        <v>0.42645025813980442</v>
      </c>
      <c r="M236" s="2"/>
      <c r="N236" s="52"/>
    </row>
    <row r="237" spans="1:14" ht="25" customHeight="1">
      <c r="A237" s="2"/>
      <c r="B237" s="2"/>
      <c r="C237" s="16" t="s">
        <v>598</v>
      </c>
      <c r="D237" s="3"/>
      <c r="E237" s="28">
        <v>0</v>
      </c>
      <c r="F237" s="28">
        <v>0</v>
      </c>
      <c r="G237" s="28">
        <v>440.8</v>
      </c>
      <c r="H237" s="24">
        <f>0</f>
        <v>0</v>
      </c>
      <c r="I237" s="24">
        <f>0</f>
        <v>0</v>
      </c>
      <c r="J237" s="24">
        <f>0</f>
        <v>0</v>
      </c>
      <c r="K237" s="24">
        <f>0</f>
        <v>0</v>
      </c>
      <c r="L237" s="24">
        <f>0</f>
        <v>0</v>
      </c>
      <c r="M237" s="2"/>
      <c r="N237" s="52"/>
    </row>
    <row r="238" spans="1:14" ht="25" customHeight="1">
      <c r="A238" s="2"/>
      <c r="B238" s="2"/>
      <c r="C238" s="16" t="s">
        <v>599</v>
      </c>
      <c r="D238" s="28">
        <v>17</v>
      </c>
      <c r="E238" s="28">
        <v>17.3</v>
      </c>
      <c r="F238" s="28">
        <v>17.600000000000001</v>
      </c>
      <c r="G238" s="28">
        <v>458.5</v>
      </c>
      <c r="H238" s="24">
        <f>SUM(H235:H237)</f>
        <v>458.9</v>
      </c>
      <c r="I238" s="24">
        <f>SUM(I235:I237)</f>
        <v>459.22963033949497</v>
      </c>
      <c r="J238" s="24">
        <f>SUM(J235:J237)</f>
        <v>459.682602094537</v>
      </c>
      <c r="K238" s="24">
        <f>SUM(K235:K237)</f>
        <v>460.00296779565366</v>
      </c>
      <c r="L238" s="24">
        <f>SUM(L235:L237)</f>
        <v>460.42941805379348</v>
      </c>
      <c r="M238" s="2"/>
      <c r="N238" s="52"/>
    </row>
    <row r="239" spans="1:14" ht="25" customHeight="1">
      <c r="A239" s="2"/>
      <c r="B239" s="2"/>
      <c r="C239" s="16"/>
      <c r="D239" s="3"/>
      <c r="E239" s="3"/>
      <c r="F239" s="3"/>
      <c r="G239" s="3"/>
      <c r="H239" s="24"/>
      <c r="I239" s="24"/>
      <c r="J239" s="24"/>
      <c r="K239" s="24"/>
      <c r="L239" s="24"/>
      <c r="M239" s="2"/>
      <c r="N239" s="52"/>
    </row>
    <row r="240" spans="1:14" ht="25" customHeight="1">
      <c r="A240" s="2"/>
      <c r="B240" s="2"/>
      <c r="C240" s="16" t="s">
        <v>600</v>
      </c>
      <c r="D240" s="3"/>
      <c r="E240" s="3"/>
      <c r="F240" s="3"/>
      <c r="G240" s="3"/>
      <c r="H240" s="24"/>
      <c r="I240" s="24"/>
      <c r="J240" s="24"/>
      <c r="K240" s="24"/>
      <c r="L240" s="24"/>
      <c r="M240" s="2"/>
      <c r="N240" s="52"/>
    </row>
    <row r="241" spans="1:14" ht="25" customHeight="1">
      <c r="A241" s="2"/>
      <c r="B241" s="2"/>
      <c r="C241" s="16" t="s">
        <v>601</v>
      </c>
      <c r="D241" s="3"/>
      <c r="E241" s="28">
        <v>2984.8</v>
      </c>
      <c r="F241" s="28">
        <v>3271.3</v>
      </c>
      <c r="G241" s="28">
        <v>3419.5</v>
      </c>
      <c r="H241" s="24">
        <f>G253</f>
        <v>3494</v>
      </c>
      <c r="I241" s="24">
        <f>H253</f>
        <v>3601.6513493487491</v>
      </c>
      <c r="J241" s="24">
        <f>I253</f>
        <v>3821.3410297127862</v>
      </c>
      <c r="K241" s="24">
        <f>J253</f>
        <v>3865.8894757674047</v>
      </c>
      <c r="L241" s="24">
        <f>K253</f>
        <v>4119.2733666090726</v>
      </c>
      <c r="M241" s="2"/>
      <c r="N241" s="52"/>
    </row>
    <row r="242" spans="1:14" ht="25" customHeight="1">
      <c r="A242" s="2"/>
      <c r="B242" s="2"/>
      <c r="C242" s="16" t="s">
        <v>602</v>
      </c>
      <c r="D242" s="3"/>
      <c r="E242" s="28">
        <v>802.3</v>
      </c>
      <c r="F242" s="28">
        <v>736.1</v>
      </c>
      <c r="G242" s="28">
        <v>888.5</v>
      </c>
      <c r="H242" s="24">
        <f>H384*(1-H210)</f>
        <v>925.65134934874959</v>
      </c>
      <c r="I242" s="24">
        <f>I384*(1-I210)</f>
        <v>996.57215565705849</v>
      </c>
      <c r="J242" s="24">
        <f>J384*(1-J210)</f>
        <v>1058.5169259663937</v>
      </c>
      <c r="K242" s="24">
        <f>K384*(1-K210)</f>
        <v>1115.8470705612858</v>
      </c>
      <c r="L242" s="24">
        <f>L384*(1-L210)</f>
        <v>1173.3655694463093</v>
      </c>
      <c r="M242" s="2"/>
      <c r="N242" s="52"/>
    </row>
    <row r="243" spans="1:14" ht="25" customHeight="1">
      <c r="A243" s="2"/>
      <c r="B243" s="2"/>
      <c r="C243" s="16" t="s">
        <v>603</v>
      </c>
      <c r="D243" s="3"/>
      <c r="E243" s="28">
        <v>-77.7</v>
      </c>
      <c r="F243" s="28">
        <v>-10.3</v>
      </c>
      <c r="G243" s="28">
        <v>-4.7</v>
      </c>
      <c r="H243" s="24">
        <f>0</f>
        <v>0</v>
      </c>
      <c r="I243" s="24">
        <f>I221</f>
        <v>0</v>
      </c>
      <c r="J243" s="24">
        <f>J221</f>
        <v>0</v>
      </c>
      <c r="K243" s="24">
        <f>K221</f>
        <v>0</v>
      </c>
      <c r="L243" s="24">
        <f>L221</f>
        <v>0</v>
      </c>
      <c r="M243" s="2"/>
      <c r="N243" s="52"/>
    </row>
    <row r="244" spans="1:14" ht="25" customHeight="1">
      <c r="A244" s="2"/>
      <c r="B244" s="2"/>
      <c r="C244" s="16" t="s">
        <v>604</v>
      </c>
      <c r="D244" s="3"/>
      <c r="E244" s="28">
        <v>-177.3</v>
      </c>
      <c r="F244" s="28">
        <v>-360.2</v>
      </c>
      <c r="G244" s="28">
        <v>-131.4</v>
      </c>
      <c r="H244" s="24">
        <f>-H301</f>
        <v>-524</v>
      </c>
      <c r="I244" s="24">
        <f>-I301</f>
        <v>-461.48247529302137</v>
      </c>
      <c r="J244" s="24">
        <f>-J301</f>
        <v>-665.86847991177581</v>
      </c>
      <c r="K244" s="24">
        <f>-K301</f>
        <v>-493.36317971961751</v>
      </c>
      <c r="L244" s="24">
        <f>-L301</f>
        <v>-690.84941818648304</v>
      </c>
      <c r="M244" s="2"/>
      <c r="N244" s="52"/>
    </row>
    <row r="245" spans="1:14" ht="25" customHeight="1">
      <c r="A245" s="2"/>
      <c r="B245" s="2"/>
      <c r="C245" s="16" t="s">
        <v>605</v>
      </c>
      <c r="D245" s="3"/>
      <c r="E245" s="28">
        <v>-31.7</v>
      </c>
      <c r="F245" s="28">
        <v>-16.7</v>
      </c>
      <c r="G245" s="28">
        <v>-58.3</v>
      </c>
      <c r="H245" s="24">
        <f>-H205</f>
        <v>-36</v>
      </c>
      <c r="I245" s="24">
        <f>-I205</f>
        <v>-38</v>
      </c>
      <c r="J245" s="24">
        <f>-J205</f>
        <v>-40</v>
      </c>
      <c r="K245" s="24">
        <f>-K205</f>
        <v>-42</v>
      </c>
      <c r="L245" s="24">
        <f>-L205</f>
        <v>-44</v>
      </c>
      <c r="M245" s="2"/>
      <c r="N245" s="52"/>
    </row>
    <row r="246" spans="1:14" ht="25" customHeight="1">
      <c r="A246" s="2"/>
      <c r="B246" s="2"/>
      <c r="C246" s="16" t="s">
        <v>606</v>
      </c>
      <c r="D246" s="3"/>
      <c r="E246" s="28">
        <v>31.9</v>
      </c>
      <c r="F246" s="28">
        <v>40.9</v>
      </c>
      <c r="G246" s="28">
        <v>43.1</v>
      </c>
      <c r="H246" s="24">
        <f>H206</f>
        <v>45</v>
      </c>
      <c r="I246" s="24">
        <f>I206</f>
        <v>47</v>
      </c>
      <c r="J246" s="24">
        <f>J206</f>
        <v>49</v>
      </c>
      <c r="K246" s="24">
        <f>K206</f>
        <v>51</v>
      </c>
      <c r="L246" s="24">
        <f>L206</f>
        <v>53</v>
      </c>
      <c r="M246" s="2"/>
      <c r="N246" s="52"/>
    </row>
    <row r="247" spans="1:14" ht="25" customHeight="1">
      <c r="A247" s="2"/>
      <c r="B247" s="2"/>
      <c r="C247" s="16" t="s">
        <v>607</v>
      </c>
      <c r="D247" s="3"/>
      <c r="E247" s="28">
        <v>-26.1</v>
      </c>
      <c r="F247" s="28">
        <v>-13.6</v>
      </c>
      <c r="G247" s="28">
        <v>-8.1999999999999993</v>
      </c>
      <c r="H247" s="24">
        <f>0</f>
        <v>0</v>
      </c>
      <c r="I247" s="24">
        <f>I222</f>
        <v>0</v>
      </c>
      <c r="J247" s="24">
        <f>J222</f>
        <v>0</v>
      </c>
      <c r="K247" s="24">
        <f>K222</f>
        <v>0</v>
      </c>
      <c r="L247" s="24">
        <f>L222</f>
        <v>0</v>
      </c>
      <c r="M247" s="2"/>
      <c r="N247" s="52"/>
    </row>
    <row r="248" spans="1:14" ht="25" customHeight="1">
      <c r="A248" s="2"/>
      <c r="B248" s="2"/>
      <c r="C248" s="16" t="s">
        <v>608</v>
      </c>
      <c r="D248" s="3"/>
      <c r="E248" s="28">
        <v>13.4</v>
      </c>
      <c r="F248" s="28">
        <v>16</v>
      </c>
      <c r="G248" s="28">
        <v>52</v>
      </c>
      <c r="H248" s="24">
        <f>H207</f>
        <v>15</v>
      </c>
      <c r="I248" s="24">
        <f>I207</f>
        <v>16</v>
      </c>
      <c r="J248" s="24">
        <f>J207</f>
        <v>17</v>
      </c>
      <c r="K248" s="24">
        <f>K207</f>
        <v>18</v>
      </c>
      <c r="L248" s="24">
        <f>L207</f>
        <v>19</v>
      </c>
      <c r="M248" s="2"/>
      <c r="N248" s="52"/>
    </row>
    <row r="249" spans="1:14" ht="25" customHeight="1">
      <c r="A249" s="2"/>
      <c r="B249" s="2"/>
      <c r="C249" s="16" t="s">
        <v>609</v>
      </c>
      <c r="D249" s="3"/>
      <c r="E249" s="28">
        <v>-248.3</v>
      </c>
      <c r="F249" s="28">
        <v>-257.8</v>
      </c>
      <c r="G249" s="28">
        <v>-286.5</v>
      </c>
      <c r="H249" s="24">
        <f>-H302</f>
        <v>-318</v>
      </c>
      <c r="I249" s="24">
        <f>-I302</f>
        <v>-340.4</v>
      </c>
      <c r="J249" s="24">
        <f>-J302</f>
        <v>-374.1</v>
      </c>
      <c r="K249" s="24">
        <f>-K302</f>
        <v>-396.1</v>
      </c>
      <c r="L249" s="24">
        <f>-L302</f>
        <v>-417.2</v>
      </c>
      <c r="M249" s="2"/>
      <c r="N249" s="52"/>
    </row>
    <row r="250" spans="1:14" ht="25" customHeight="1">
      <c r="A250" s="2"/>
      <c r="B250" s="2"/>
      <c r="C250" s="16" t="s">
        <v>610</v>
      </c>
      <c r="D250" s="3"/>
      <c r="E250" s="28">
        <v>0</v>
      </c>
      <c r="F250" s="28">
        <v>8.5</v>
      </c>
      <c r="G250" s="28">
        <v>1.5</v>
      </c>
      <c r="H250" s="24">
        <f>0</f>
        <v>0</v>
      </c>
      <c r="I250" s="24">
        <f t="shared" ref="I250:L251" si="6">I223</f>
        <v>0</v>
      </c>
      <c r="J250" s="24">
        <f t="shared" si="6"/>
        <v>0</v>
      </c>
      <c r="K250" s="24">
        <f t="shared" si="6"/>
        <v>0</v>
      </c>
      <c r="L250" s="24">
        <f t="shared" si="6"/>
        <v>0</v>
      </c>
      <c r="M250" s="2"/>
      <c r="N250" s="52"/>
    </row>
    <row r="251" spans="1:14" ht="25" customHeight="1">
      <c r="A251" s="2"/>
      <c r="B251" s="2"/>
      <c r="C251" s="16" t="s">
        <v>611</v>
      </c>
      <c r="D251" s="3"/>
      <c r="E251" s="28">
        <v>0</v>
      </c>
      <c r="F251" s="28">
        <v>5.3</v>
      </c>
      <c r="G251" s="28">
        <v>0</v>
      </c>
      <c r="H251" s="24">
        <f>0</f>
        <v>0</v>
      </c>
      <c r="I251" s="24">
        <f t="shared" si="6"/>
        <v>0</v>
      </c>
      <c r="J251" s="24">
        <f t="shared" si="6"/>
        <v>0</v>
      </c>
      <c r="K251" s="24">
        <f t="shared" si="6"/>
        <v>0</v>
      </c>
      <c r="L251" s="24">
        <f t="shared" si="6"/>
        <v>0</v>
      </c>
      <c r="M251" s="2"/>
      <c r="N251" s="52"/>
    </row>
    <row r="252" spans="1:14" ht="25" customHeight="1">
      <c r="A252" s="2"/>
      <c r="B252" s="2"/>
      <c r="C252" s="16" t="s">
        <v>612</v>
      </c>
      <c r="D252" s="3"/>
      <c r="E252" s="28">
        <v>0</v>
      </c>
      <c r="F252" s="28">
        <v>0</v>
      </c>
      <c r="G252" s="28">
        <v>-421.5</v>
      </c>
      <c r="H252" s="24">
        <f>0</f>
        <v>0</v>
      </c>
      <c r="I252" s="30">
        <f>'02 Model'!I128-I306</f>
        <v>0</v>
      </c>
      <c r="J252" s="30">
        <f>'02 Model'!J128-J306</f>
        <v>0</v>
      </c>
      <c r="K252" s="30">
        <f>'02 Model'!K128-K306</f>
        <v>0</v>
      </c>
      <c r="L252" s="30">
        <f>'02 Model'!L128-L306</f>
        <v>0</v>
      </c>
      <c r="M252" s="2"/>
      <c r="N252" s="52"/>
    </row>
    <row r="253" spans="1:14" ht="25" customHeight="1">
      <c r="A253" s="2"/>
      <c r="B253" s="2"/>
      <c r="C253" s="16" t="s">
        <v>613</v>
      </c>
      <c r="D253" s="28">
        <v>2984.8</v>
      </c>
      <c r="E253" s="28">
        <v>3271.3</v>
      </c>
      <c r="F253" s="28">
        <v>3419.5</v>
      </c>
      <c r="G253" s="28">
        <v>3494</v>
      </c>
      <c r="H253" s="24">
        <f>IF(H242="","",SUM(H241:H252))</f>
        <v>3601.6513493487491</v>
      </c>
      <c r="I253" s="24">
        <f>IF(I242="","",SUM(I241:I252))</f>
        <v>3821.3410297127862</v>
      </c>
      <c r="J253" s="24">
        <f>IF(J242="","",SUM(J241:J252))</f>
        <v>3865.8894757674047</v>
      </c>
      <c r="K253" s="24">
        <f>IF(K242="","",SUM(K241:K252))</f>
        <v>4119.2733666090726</v>
      </c>
      <c r="L253" s="24">
        <f>IF(L242="","",SUM(L241:L252))</f>
        <v>4212.5895178688997</v>
      </c>
      <c r="M253" s="2"/>
      <c r="N253" s="52"/>
    </row>
    <row r="254" spans="1:14" ht="25" customHeight="1">
      <c r="A254" s="2"/>
      <c r="B254" s="2"/>
      <c r="C254" s="16"/>
      <c r="D254" s="3"/>
      <c r="E254" s="3"/>
      <c r="F254" s="3"/>
      <c r="G254" s="3"/>
      <c r="H254" s="24"/>
      <c r="I254" s="24"/>
      <c r="J254" s="24"/>
      <c r="K254" s="24"/>
      <c r="L254" s="24"/>
      <c r="M254" s="2"/>
      <c r="N254" s="52"/>
    </row>
    <row r="255" spans="1:14" ht="25" customHeight="1">
      <c r="A255" s="2"/>
      <c r="B255" s="2"/>
      <c r="C255" s="16" t="s">
        <v>181</v>
      </c>
      <c r="D255" s="3"/>
      <c r="E255" s="3"/>
      <c r="F255" s="3"/>
      <c r="G255" s="3"/>
      <c r="H255" s="24">
        <f>H211</f>
        <v>23</v>
      </c>
      <c r="I255" s="24">
        <f>I278</f>
        <v>23</v>
      </c>
      <c r="J255" s="24">
        <f>J278</f>
        <v>23</v>
      </c>
      <c r="K255" s="24">
        <f>K278</f>
        <v>23</v>
      </c>
      <c r="L255" s="24">
        <f>L278</f>
        <v>23</v>
      </c>
      <c r="M255" s="2"/>
      <c r="N255" s="52"/>
    </row>
    <row r="256" spans="1:14" ht="25" customHeight="1">
      <c r="A256" s="2"/>
      <c r="B256" s="2"/>
      <c r="C256" s="16" t="s">
        <v>183</v>
      </c>
      <c r="D256" s="3"/>
      <c r="E256" s="3"/>
      <c r="F256" s="3"/>
      <c r="G256" s="3"/>
      <c r="H256" s="24">
        <f>H220</f>
        <v>0.2</v>
      </c>
      <c r="I256" s="24">
        <f>I220</f>
        <v>0.2</v>
      </c>
      <c r="J256" s="24">
        <f>J220</f>
        <v>0.2</v>
      </c>
      <c r="K256" s="24">
        <f>K220</f>
        <v>0.2</v>
      </c>
      <c r="L256" s="24">
        <f>L220</f>
        <v>0.2</v>
      </c>
      <c r="M256" s="2"/>
      <c r="N256" s="52"/>
    </row>
    <row r="257" spans="1:14" ht="25" customHeight="1">
      <c r="A257" s="2"/>
      <c r="B257" s="2"/>
      <c r="C257" s="16" t="s">
        <v>194</v>
      </c>
      <c r="D257" s="3"/>
      <c r="E257" s="3"/>
      <c r="F257" s="3"/>
      <c r="G257" s="3"/>
      <c r="H257" s="24">
        <f>H214</f>
        <v>6.4</v>
      </c>
      <c r="I257" s="24">
        <f>I214</f>
        <v>6.4</v>
      </c>
      <c r="J257" s="24">
        <f>J214</f>
        <v>6.4</v>
      </c>
      <c r="K257" s="24">
        <f>K214</f>
        <v>6.4</v>
      </c>
      <c r="L257" s="24">
        <f>L214</f>
        <v>6.4</v>
      </c>
      <c r="M257" s="2"/>
      <c r="N257" s="52"/>
    </row>
    <row r="258" spans="1:14" ht="25" customHeight="1">
      <c r="A258" s="2"/>
      <c r="B258" s="2"/>
      <c r="C258" s="16" t="s">
        <v>196</v>
      </c>
      <c r="D258" s="3"/>
      <c r="E258" s="3"/>
      <c r="F258" s="3"/>
      <c r="G258" s="3"/>
      <c r="H258" s="24">
        <f>H215</f>
        <v>0</v>
      </c>
      <c r="I258" s="24">
        <f>0</f>
        <v>0</v>
      </c>
      <c r="J258" s="24">
        <f>0</f>
        <v>0</v>
      </c>
      <c r="K258" s="24">
        <f>0</f>
        <v>0</v>
      </c>
      <c r="L258" s="24">
        <f>0</f>
        <v>0</v>
      </c>
      <c r="M258" s="2"/>
      <c r="N258" s="52"/>
    </row>
    <row r="259" spans="1:14" ht="25" customHeight="1">
      <c r="A259" s="2"/>
      <c r="B259" s="2"/>
      <c r="C259" s="16" t="s">
        <v>214</v>
      </c>
      <c r="D259" s="3"/>
      <c r="E259" s="3"/>
      <c r="F259" s="3"/>
      <c r="G259" s="3"/>
      <c r="H259" s="24">
        <f>-H216</f>
        <v>-35.5</v>
      </c>
      <c r="I259" s="24">
        <f>-I216</f>
        <v>-35.5</v>
      </c>
      <c r="J259" s="24">
        <f>-J216</f>
        <v>-35.5</v>
      </c>
      <c r="K259" s="24">
        <f>-K216</f>
        <v>-35.5</v>
      </c>
      <c r="L259" s="24">
        <f>-L216</f>
        <v>-35.5</v>
      </c>
      <c r="M259" s="2"/>
      <c r="N259" s="52"/>
    </row>
    <row r="260" spans="1:14" ht="25" customHeight="1">
      <c r="A260" s="2"/>
      <c r="B260" s="2"/>
      <c r="C260" s="16" t="s">
        <v>216</v>
      </c>
      <c r="D260" s="3"/>
      <c r="E260" s="3"/>
      <c r="F260" s="3"/>
      <c r="G260" s="3"/>
      <c r="H260" s="30">
        <f>('02 Model'!G50+'02 Model'!G62+'02 Model'!G71)+H383-'02 Model'!H98+H248-H258-H264</f>
        <v>-40.882254583333179</v>
      </c>
      <c r="I260" s="30">
        <f>(H258+H260+H264)+I383-'02 Model'!I98+I248-I258-I264</f>
        <v>-40.882254583333179</v>
      </c>
      <c r="J260" s="30">
        <f>(I258+I260+I264)+J383-'02 Model'!J98+J248-J258-J264</f>
        <v>-40.882254583333179</v>
      </c>
      <c r="K260" s="30">
        <f>(J258+J260+J264)+K383-'02 Model'!K98+K248-K258-K264</f>
        <v>-40.882254583333179</v>
      </c>
      <c r="L260" s="30">
        <f>(K258+K260+K264)+L383-'02 Model'!L98+L248-L258-L264</f>
        <v>-40.882254583333179</v>
      </c>
      <c r="M260" s="2"/>
      <c r="N260" s="52"/>
    </row>
    <row r="261" spans="1:14" ht="25" customHeight="1">
      <c r="A261" s="2"/>
      <c r="B261" s="2"/>
      <c r="C261" s="16" t="s">
        <v>223</v>
      </c>
      <c r="D261" s="3"/>
      <c r="E261" s="3"/>
      <c r="F261" s="3"/>
      <c r="G261" s="3"/>
      <c r="H261" s="24">
        <f>-H212</f>
        <v>-58.5</v>
      </c>
      <c r="I261" s="24">
        <f>-I286</f>
        <v>-58.5</v>
      </c>
      <c r="J261" s="24">
        <f>-J286</f>
        <v>-58.5</v>
      </c>
      <c r="K261" s="24">
        <f>-K286</f>
        <v>-58.5</v>
      </c>
      <c r="L261" s="24">
        <f>-L286</f>
        <v>-58.5</v>
      </c>
      <c r="M261" s="2"/>
      <c r="N261" s="52"/>
    </row>
    <row r="262" spans="1:14" ht="25" customHeight="1">
      <c r="A262" s="2"/>
      <c r="B262" s="2"/>
      <c r="C262" s="16" t="s">
        <v>227</v>
      </c>
      <c r="D262" s="3"/>
      <c r="E262" s="3"/>
      <c r="F262" s="3"/>
      <c r="G262" s="3"/>
      <c r="H262" s="24">
        <f>-H219</f>
        <v>-38.200000000000003</v>
      </c>
      <c r="I262" s="24">
        <f>-I219</f>
        <v>-38.200000000000003</v>
      </c>
      <c r="J262" s="24">
        <f>-J219</f>
        <v>-38.200000000000003</v>
      </c>
      <c r="K262" s="24">
        <f>-K219</f>
        <v>-38.200000000000003</v>
      </c>
      <c r="L262" s="24">
        <f>-L219</f>
        <v>-38.200000000000003</v>
      </c>
      <c r="M262" s="2"/>
      <c r="N262" s="52"/>
    </row>
    <row r="263" spans="1:14" ht="25" customHeight="1">
      <c r="A263" s="2"/>
      <c r="B263" s="2"/>
      <c r="C263" s="16" t="s">
        <v>229</v>
      </c>
      <c r="D263" s="3"/>
      <c r="E263" s="3"/>
      <c r="F263" s="3"/>
      <c r="G263" s="3"/>
      <c r="H263" s="24">
        <f>-H218</f>
        <v>-17.600000000000001</v>
      </c>
      <c r="I263" s="24">
        <f>-I218</f>
        <v>-17.600000000000001</v>
      </c>
      <c r="J263" s="24">
        <f>-J218</f>
        <v>-17.600000000000001</v>
      </c>
      <c r="K263" s="24">
        <f>-K218</f>
        <v>-17.600000000000001</v>
      </c>
      <c r="L263" s="24">
        <f>-L218</f>
        <v>-17.600000000000001</v>
      </c>
      <c r="M263" s="2"/>
      <c r="N263" s="52"/>
    </row>
    <row r="264" spans="1:14" ht="25" customHeight="1">
      <c r="A264" s="2"/>
      <c r="B264" s="2"/>
      <c r="C264" s="16" t="s">
        <v>231</v>
      </c>
      <c r="D264" s="3"/>
      <c r="E264" s="3"/>
      <c r="F264" s="3"/>
      <c r="G264" s="3"/>
      <c r="H264" s="24">
        <f>-H213</f>
        <v>-35</v>
      </c>
      <c r="I264" s="24">
        <f>-I294</f>
        <v>-35</v>
      </c>
      <c r="J264" s="24">
        <f>-J294</f>
        <v>-35</v>
      </c>
      <c r="K264" s="24">
        <f>-K294</f>
        <v>-35</v>
      </c>
      <c r="L264" s="24">
        <f>-L294</f>
        <v>-35</v>
      </c>
      <c r="M264" s="2"/>
      <c r="N264" s="52"/>
    </row>
    <row r="265" spans="1:14" ht="25" customHeight="1">
      <c r="A265" s="2"/>
      <c r="B265" s="2"/>
      <c r="C265" s="16" t="s">
        <v>242</v>
      </c>
      <c r="D265" s="3"/>
      <c r="E265" s="3"/>
      <c r="F265" s="3"/>
      <c r="G265" s="3"/>
      <c r="H265" s="30">
        <f>'02 Model'!G79</f>
        <v>54.2</v>
      </c>
      <c r="I265" s="24">
        <f>H265</f>
        <v>54.2</v>
      </c>
      <c r="J265" s="24">
        <f>I265</f>
        <v>54.2</v>
      </c>
      <c r="K265" s="24">
        <f>J265</f>
        <v>54.2</v>
      </c>
      <c r="L265" s="24">
        <f>K265</f>
        <v>54.2</v>
      </c>
      <c r="M265" s="2"/>
      <c r="N265" s="52"/>
    </row>
    <row r="266" spans="1:14" ht="25" customHeight="1">
      <c r="A266" s="2"/>
      <c r="B266" s="2"/>
      <c r="C266" s="16" t="s">
        <v>246</v>
      </c>
      <c r="D266" s="3"/>
      <c r="E266" s="3"/>
      <c r="F266" s="3"/>
      <c r="G266" s="3"/>
      <c r="H266" s="30">
        <f>'02 Model'!G81-H209+H208+H205</f>
        <v>-470.4</v>
      </c>
      <c r="I266" s="24">
        <f>H266-I209+I208+I205</f>
        <v>-499.4</v>
      </c>
      <c r="J266" s="24">
        <f>I266-J209+J208+J205</f>
        <v>-529.4</v>
      </c>
      <c r="K266" s="24">
        <f>J266-K209+K208+K205</f>
        <v>-560.4</v>
      </c>
      <c r="L266" s="24">
        <f>K266-L209+L208+L205</f>
        <v>-592.4</v>
      </c>
      <c r="M266" s="2"/>
      <c r="N266" s="52"/>
    </row>
    <row r="267" spans="1:14" ht="25" customHeight="1">
      <c r="A267" s="2"/>
      <c r="B267" s="2"/>
      <c r="C267" s="16" t="s">
        <v>248</v>
      </c>
      <c r="D267" s="3"/>
      <c r="E267" s="3"/>
      <c r="F267" s="3"/>
      <c r="G267" s="3"/>
      <c r="H267" s="30">
        <f>'02 Model'!G82</f>
        <v>-16.100000000000001</v>
      </c>
      <c r="I267" s="24">
        <f t="shared" ref="I267:L270" si="7">H267</f>
        <v>-16.100000000000001</v>
      </c>
      <c r="J267" s="24">
        <f t="shared" si="7"/>
        <v>-16.100000000000001</v>
      </c>
      <c r="K267" s="24">
        <f t="shared" si="7"/>
        <v>-16.100000000000001</v>
      </c>
      <c r="L267" s="24">
        <f t="shared" si="7"/>
        <v>-16.100000000000001</v>
      </c>
      <c r="M267" s="2"/>
      <c r="N267" s="52"/>
    </row>
    <row r="268" spans="1:14" ht="25" customHeight="1">
      <c r="A268" s="2"/>
      <c r="B268" s="2"/>
      <c r="C268" s="16" t="s">
        <v>250</v>
      </c>
      <c r="D268" s="3"/>
      <c r="E268" s="3"/>
      <c r="F268" s="3"/>
      <c r="G268" s="3"/>
      <c r="H268" s="30">
        <f>'02 Model'!G83</f>
        <v>-1</v>
      </c>
      <c r="I268" s="24">
        <f t="shared" si="7"/>
        <v>-1</v>
      </c>
      <c r="J268" s="24">
        <f t="shared" si="7"/>
        <v>-1</v>
      </c>
      <c r="K268" s="24">
        <f t="shared" si="7"/>
        <v>-1</v>
      </c>
      <c r="L268" s="24">
        <f t="shared" si="7"/>
        <v>-1</v>
      </c>
      <c r="M268" s="2"/>
      <c r="N268" s="52"/>
    </row>
    <row r="269" spans="1:14" ht="25" customHeight="1">
      <c r="A269" s="2"/>
      <c r="B269" s="2"/>
      <c r="C269" s="16" t="s">
        <v>252</v>
      </c>
      <c r="D269" s="3"/>
      <c r="E269" s="3"/>
      <c r="F269" s="3"/>
      <c r="G269" s="3"/>
      <c r="H269" s="30">
        <f>'02 Model'!G84</f>
        <v>-7.3</v>
      </c>
      <c r="I269" s="24">
        <f t="shared" si="7"/>
        <v>-7.3</v>
      </c>
      <c r="J269" s="24">
        <f t="shared" si="7"/>
        <v>-7.3</v>
      </c>
      <c r="K269" s="24">
        <f t="shared" si="7"/>
        <v>-7.3</v>
      </c>
      <c r="L269" s="24">
        <f t="shared" si="7"/>
        <v>-7.3</v>
      </c>
      <c r="M269" s="2"/>
      <c r="N269" s="52"/>
    </row>
    <row r="270" spans="1:14" ht="25" customHeight="1">
      <c r="A270" s="2"/>
      <c r="B270" s="2"/>
      <c r="C270" s="16" t="s">
        <v>254</v>
      </c>
      <c r="D270" s="3"/>
      <c r="E270" s="3"/>
      <c r="F270" s="3"/>
      <c r="G270" s="3"/>
      <c r="H270" s="30">
        <f>'02 Model'!G85</f>
        <v>-1889.7</v>
      </c>
      <c r="I270" s="24">
        <f t="shared" si="7"/>
        <v>-1889.7</v>
      </c>
      <c r="J270" s="24">
        <f t="shared" si="7"/>
        <v>-1889.7</v>
      </c>
      <c r="K270" s="24">
        <f t="shared" si="7"/>
        <v>-1889.7</v>
      </c>
      <c r="L270" s="24">
        <f t="shared" si="7"/>
        <v>-1889.7</v>
      </c>
      <c r="M270" s="2"/>
      <c r="N270" s="52"/>
    </row>
    <row r="271" spans="1:14" ht="25" customHeight="1">
      <c r="A271" s="2"/>
      <c r="B271" s="2"/>
      <c r="C271" s="16" t="s">
        <v>260</v>
      </c>
      <c r="D271" s="3"/>
      <c r="E271" s="3"/>
      <c r="F271" s="3"/>
      <c r="G271" s="3"/>
      <c r="H271" s="30">
        <f>'02 Model'!G88+(H384-H242)+'02 Model'!H130</f>
        <v>119.79541440125001</v>
      </c>
      <c r="I271" s="30">
        <f>H271+(I384-I242)+'02 Model'!I130</f>
        <v>123.1206804413595</v>
      </c>
      <c r="J271" s="30">
        <f>I271+(J384-J242)+'02 Model'!J130</f>
        <v>126.65263782830503</v>
      </c>
      <c r="K271" s="30">
        <f>J271+(K384-K242)+'02 Model'!K130</f>
        <v>130.37588892320119</v>
      </c>
      <c r="L271" s="30">
        <f>K271+(L384-L242)+'02 Model'!L130</f>
        <v>134.29106220851244</v>
      </c>
      <c r="M271" s="2"/>
      <c r="N271" s="52"/>
    </row>
    <row r="272" spans="1:14" ht="25" customHeight="1">
      <c r="A272" s="2"/>
      <c r="B272" s="2"/>
      <c r="C272" s="16"/>
      <c r="D272" s="3"/>
      <c r="E272" s="3"/>
      <c r="F272" s="3"/>
      <c r="G272" s="3"/>
      <c r="H272" s="24"/>
      <c r="I272" s="24"/>
      <c r="J272" s="24"/>
      <c r="K272" s="24"/>
      <c r="L272" s="24"/>
      <c r="M272" s="2"/>
      <c r="N272" s="52"/>
    </row>
    <row r="273" spans="1:14" ht="25" customHeight="1">
      <c r="A273" s="2"/>
      <c r="B273" s="2"/>
      <c r="C273" s="57" t="s">
        <v>614</v>
      </c>
      <c r="D273" s="56"/>
      <c r="E273" s="56"/>
      <c r="F273" s="56"/>
      <c r="G273" s="56"/>
      <c r="H273" s="56"/>
      <c r="I273" s="56"/>
      <c r="J273" s="56"/>
      <c r="K273" s="56"/>
      <c r="L273" s="56"/>
      <c r="M273" s="2"/>
      <c r="N273" s="52"/>
    </row>
    <row r="274" spans="1:14" ht="25" customHeight="1">
      <c r="A274" s="2"/>
      <c r="B274" s="2"/>
      <c r="C274" s="16" t="s">
        <v>615</v>
      </c>
      <c r="D274" s="3"/>
      <c r="E274" s="3"/>
      <c r="F274" s="3"/>
      <c r="G274" s="3"/>
      <c r="H274" s="30">
        <f>'02 Model'!G41</f>
        <v>23</v>
      </c>
      <c r="I274" s="30">
        <f>'02 Model'!H41</f>
        <v>23</v>
      </c>
      <c r="J274" s="30">
        <f>'02 Model'!I41</f>
        <v>23</v>
      </c>
      <c r="K274" s="30">
        <f>'02 Model'!J41</f>
        <v>23</v>
      </c>
      <c r="L274" s="30">
        <f>'02 Model'!K41</f>
        <v>23</v>
      </c>
      <c r="M274" s="2"/>
      <c r="N274" s="52"/>
    </row>
    <row r="275" spans="1:14" ht="25" customHeight="1">
      <c r="A275" s="2"/>
      <c r="B275" s="2"/>
      <c r="C275" s="16" t="s">
        <v>616</v>
      </c>
      <c r="D275" s="3"/>
      <c r="E275" s="3"/>
      <c r="F275" s="3"/>
      <c r="G275" s="3"/>
      <c r="H275" s="29">
        <v>0</v>
      </c>
      <c r="I275" s="29">
        <v>0</v>
      </c>
      <c r="J275" s="29">
        <v>0</v>
      </c>
      <c r="K275" s="29">
        <v>0</v>
      </c>
      <c r="L275" s="29">
        <v>0</v>
      </c>
      <c r="M275" s="2"/>
      <c r="N275" s="52"/>
    </row>
    <row r="276" spans="1:14" ht="25" customHeight="1">
      <c r="A276" s="2"/>
      <c r="B276" s="2"/>
      <c r="C276" s="16" t="s">
        <v>617</v>
      </c>
      <c r="D276" s="3"/>
      <c r="E276" s="3"/>
      <c r="F276" s="3"/>
      <c r="G276" s="3"/>
      <c r="H276" s="29">
        <v>0</v>
      </c>
      <c r="I276" s="29">
        <v>0</v>
      </c>
      <c r="J276" s="29">
        <v>0</v>
      </c>
      <c r="K276" s="29">
        <v>0</v>
      </c>
      <c r="L276" s="29">
        <v>0</v>
      </c>
      <c r="M276" s="2"/>
      <c r="N276" s="52"/>
    </row>
    <row r="277" spans="1:14" ht="25" customHeight="1">
      <c r="A277" s="2"/>
      <c r="B277" s="2"/>
      <c r="C277" s="16" t="s">
        <v>618</v>
      </c>
      <c r="D277" s="3"/>
      <c r="E277" s="3"/>
      <c r="F277" s="3"/>
      <c r="G277" s="3"/>
      <c r="H277" s="29">
        <v>0</v>
      </c>
      <c r="I277" s="29">
        <v>0</v>
      </c>
      <c r="J277" s="29">
        <v>0</v>
      </c>
      <c r="K277" s="29">
        <v>0</v>
      </c>
      <c r="L277" s="29">
        <v>0</v>
      </c>
      <c r="M277" s="2"/>
      <c r="N277" s="52"/>
    </row>
    <row r="278" spans="1:14" ht="25" customHeight="1">
      <c r="A278" s="2"/>
      <c r="B278" s="2"/>
      <c r="C278" s="16" t="s">
        <v>619</v>
      </c>
      <c r="D278" s="3"/>
      <c r="E278" s="3"/>
      <c r="F278" s="3"/>
      <c r="G278" s="3"/>
      <c r="H278" s="24">
        <f>H255</f>
        <v>23</v>
      </c>
      <c r="I278" s="24">
        <f>SUM(I274:I277)</f>
        <v>23</v>
      </c>
      <c r="J278" s="24">
        <f>SUM(J274:J277)</f>
        <v>23</v>
      </c>
      <c r="K278" s="24">
        <f>SUM(K274:K277)</f>
        <v>23</v>
      </c>
      <c r="L278" s="24">
        <f>SUM(L274:L277)</f>
        <v>23</v>
      </c>
      <c r="M278" s="2"/>
      <c r="N278" s="52"/>
    </row>
    <row r="279" spans="1:14" ht="42" customHeight="1">
      <c r="A279" s="2"/>
      <c r="B279" s="2"/>
      <c r="C279" s="117" t="s">
        <v>620</v>
      </c>
      <c r="D279" s="118"/>
      <c r="E279" s="118"/>
      <c r="F279" s="118"/>
      <c r="G279" s="118"/>
      <c r="H279" s="122"/>
      <c r="I279" s="122"/>
      <c r="J279" s="122"/>
      <c r="K279" s="122"/>
      <c r="L279" s="122"/>
      <c r="M279" s="2"/>
      <c r="N279" s="52"/>
    </row>
    <row r="280" spans="1:14" ht="25" customHeight="1">
      <c r="A280" s="2"/>
      <c r="B280" s="2"/>
      <c r="C280" s="16"/>
      <c r="D280" s="3"/>
      <c r="E280" s="3"/>
      <c r="F280" s="3"/>
      <c r="G280" s="3"/>
      <c r="H280" s="24"/>
      <c r="I280" s="24"/>
      <c r="J280" s="24"/>
      <c r="K280" s="24"/>
      <c r="L280" s="24"/>
      <c r="M280" s="2"/>
      <c r="N280" s="52"/>
    </row>
    <row r="281" spans="1:14" ht="25" customHeight="1">
      <c r="A281" s="2"/>
      <c r="B281" s="2"/>
      <c r="C281" s="57" t="s">
        <v>621</v>
      </c>
      <c r="D281" s="56"/>
      <c r="E281" s="56"/>
      <c r="F281" s="56"/>
      <c r="G281" s="56"/>
      <c r="H281" s="56"/>
      <c r="I281" s="56"/>
      <c r="J281" s="56"/>
      <c r="K281" s="56"/>
      <c r="L281" s="56"/>
      <c r="M281" s="2"/>
      <c r="N281" s="52"/>
    </row>
    <row r="282" spans="1:14" ht="25" customHeight="1">
      <c r="A282" s="2"/>
      <c r="B282" s="2"/>
      <c r="C282" s="16" t="s">
        <v>615</v>
      </c>
      <c r="D282" s="3"/>
      <c r="E282" s="3"/>
      <c r="F282" s="3"/>
      <c r="G282" s="3"/>
      <c r="H282" s="30">
        <f>-'02 Model'!G67</f>
        <v>58.5</v>
      </c>
      <c r="I282" s="30">
        <f>-'02 Model'!H67</f>
        <v>58.5</v>
      </c>
      <c r="J282" s="30">
        <f>-'02 Model'!I67</f>
        <v>58.5</v>
      </c>
      <c r="K282" s="30">
        <f>-'02 Model'!J67</f>
        <v>58.5</v>
      </c>
      <c r="L282" s="30">
        <f>-'02 Model'!K67</f>
        <v>58.5</v>
      </c>
      <c r="M282" s="2"/>
      <c r="N282" s="52"/>
    </row>
    <row r="283" spans="1:14" ht="25" customHeight="1">
      <c r="A283" s="2"/>
      <c r="B283" s="2"/>
      <c r="C283" s="16" t="s">
        <v>616</v>
      </c>
      <c r="D283" s="3"/>
      <c r="E283" s="3"/>
      <c r="F283" s="3"/>
      <c r="G283" s="3"/>
      <c r="H283" s="29">
        <v>0</v>
      </c>
      <c r="I283" s="29">
        <v>0</v>
      </c>
      <c r="J283" s="29">
        <v>0</v>
      </c>
      <c r="K283" s="29">
        <v>0</v>
      </c>
      <c r="L283" s="29">
        <v>0</v>
      </c>
      <c r="M283" s="2"/>
      <c r="N283" s="52"/>
    </row>
    <row r="284" spans="1:14" ht="25" customHeight="1">
      <c r="A284" s="2"/>
      <c r="B284" s="2"/>
      <c r="C284" s="16" t="s">
        <v>617</v>
      </c>
      <c r="D284" s="3"/>
      <c r="E284" s="3"/>
      <c r="F284" s="3"/>
      <c r="G284" s="3"/>
      <c r="H284" s="29">
        <v>0</v>
      </c>
      <c r="I284" s="29">
        <v>0</v>
      </c>
      <c r="J284" s="29">
        <v>0</v>
      </c>
      <c r="K284" s="29">
        <v>0</v>
      </c>
      <c r="L284" s="29">
        <v>0</v>
      </c>
      <c r="M284" s="2"/>
      <c r="N284" s="52"/>
    </row>
    <row r="285" spans="1:14" ht="25" customHeight="1">
      <c r="A285" s="2"/>
      <c r="B285" s="2"/>
      <c r="C285" s="16" t="s">
        <v>618</v>
      </c>
      <c r="D285" s="3"/>
      <c r="E285" s="3"/>
      <c r="F285" s="3"/>
      <c r="G285" s="3"/>
      <c r="H285" s="29">
        <v>0</v>
      </c>
      <c r="I285" s="29">
        <v>0</v>
      </c>
      <c r="J285" s="29">
        <v>0</v>
      </c>
      <c r="K285" s="29">
        <v>0</v>
      </c>
      <c r="L285" s="29">
        <v>0</v>
      </c>
      <c r="M285" s="2"/>
      <c r="N285" s="52"/>
    </row>
    <row r="286" spans="1:14" ht="25" customHeight="1">
      <c r="A286" s="2"/>
      <c r="B286" s="2"/>
      <c r="C286" s="16" t="s">
        <v>619</v>
      </c>
      <c r="D286" s="3"/>
      <c r="E286" s="3"/>
      <c r="F286" s="3"/>
      <c r="G286" s="3"/>
      <c r="H286" s="24">
        <f>-H261</f>
        <v>58.5</v>
      </c>
      <c r="I286" s="24">
        <f>SUM(I282:I285)</f>
        <v>58.5</v>
      </c>
      <c r="J286" s="24">
        <f>SUM(J282:J285)</f>
        <v>58.5</v>
      </c>
      <c r="K286" s="24">
        <f>SUM(K282:K285)</f>
        <v>58.5</v>
      </c>
      <c r="L286" s="24">
        <f>SUM(L282:L285)</f>
        <v>58.5</v>
      </c>
      <c r="M286" s="2"/>
      <c r="N286" s="52"/>
    </row>
    <row r="287" spans="1:14" ht="42" customHeight="1">
      <c r="A287" s="2"/>
      <c r="B287" s="2"/>
      <c r="C287" s="117" t="s">
        <v>620</v>
      </c>
      <c r="D287" s="118"/>
      <c r="E287" s="118"/>
      <c r="F287" s="118"/>
      <c r="G287" s="118"/>
      <c r="H287" s="122"/>
      <c r="I287" s="122"/>
      <c r="J287" s="122"/>
      <c r="K287" s="122"/>
      <c r="L287" s="122"/>
      <c r="M287" s="2"/>
      <c r="N287" s="52"/>
    </row>
    <row r="288" spans="1:14" ht="25" customHeight="1">
      <c r="A288" s="2"/>
      <c r="B288" s="2"/>
      <c r="C288" s="16"/>
      <c r="D288" s="3"/>
      <c r="E288" s="3"/>
      <c r="F288" s="3"/>
      <c r="G288" s="3"/>
      <c r="H288" s="24"/>
      <c r="I288" s="24"/>
      <c r="J288" s="24"/>
      <c r="K288" s="24"/>
      <c r="L288" s="24"/>
      <c r="M288" s="2"/>
      <c r="N288" s="52"/>
    </row>
    <row r="289" spans="1:14" ht="25" customHeight="1">
      <c r="A289" s="2"/>
      <c r="B289" s="2"/>
      <c r="C289" s="57" t="s">
        <v>622</v>
      </c>
      <c r="D289" s="56"/>
      <c r="E289" s="56"/>
      <c r="F289" s="56"/>
      <c r="G289" s="56"/>
      <c r="H289" s="56"/>
      <c r="I289" s="56"/>
      <c r="J289" s="56"/>
      <c r="K289" s="56"/>
      <c r="L289" s="56"/>
      <c r="M289" s="2"/>
      <c r="N289" s="52"/>
    </row>
    <row r="290" spans="1:14" ht="25" customHeight="1">
      <c r="A290" s="2"/>
      <c r="B290" s="2"/>
      <c r="C290" s="16" t="s">
        <v>615</v>
      </c>
      <c r="D290" s="3"/>
      <c r="E290" s="3"/>
      <c r="F290" s="3"/>
      <c r="G290" s="3"/>
      <c r="H290" s="30">
        <f>-'02 Model'!G71</f>
        <v>34.700000000000003</v>
      </c>
      <c r="I290" s="30">
        <f>-'02 Model'!H71</f>
        <v>35</v>
      </c>
      <c r="J290" s="30">
        <f>-'02 Model'!I71</f>
        <v>35</v>
      </c>
      <c r="K290" s="30">
        <f>-'02 Model'!J71</f>
        <v>35</v>
      </c>
      <c r="L290" s="30">
        <f>-'02 Model'!K71</f>
        <v>35</v>
      </c>
      <c r="M290" s="2"/>
      <c r="N290" s="52"/>
    </row>
    <row r="291" spans="1:14" ht="25" customHeight="1">
      <c r="A291" s="2"/>
      <c r="B291" s="2"/>
      <c r="C291" s="16" t="s">
        <v>616</v>
      </c>
      <c r="D291" s="3"/>
      <c r="E291" s="3"/>
      <c r="F291" s="3"/>
      <c r="G291" s="3"/>
      <c r="H291" s="29">
        <v>0</v>
      </c>
      <c r="I291" s="29">
        <v>0</v>
      </c>
      <c r="J291" s="29">
        <v>0</v>
      </c>
      <c r="K291" s="29">
        <v>0</v>
      </c>
      <c r="L291" s="29">
        <v>0</v>
      </c>
      <c r="M291" s="2"/>
      <c r="N291" s="52"/>
    </row>
    <row r="292" spans="1:14" ht="25" customHeight="1">
      <c r="A292" s="2"/>
      <c r="B292" s="2"/>
      <c r="C292" s="16" t="s">
        <v>617</v>
      </c>
      <c r="D292" s="3"/>
      <c r="E292" s="3"/>
      <c r="F292" s="3"/>
      <c r="G292" s="3"/>
      <c r="H292" s="29">
        <v>0</v>
      </c>
      <c r="I292" s="29">
        <v>0</v>
      </c>
      <c r="J292" s="29">
        <v>0</v>
      </c>
      <c r="K292" s="29">
        <v>0</v>
      </c>
      <c r="L292" s="29">
        <v>0</v>
      </c>
      <c r="M292" s="2"/>
      <c r="N292" s="52"/>
    </row>
    <row r="293" spans="1:14" ht="25" customHeight="1">
      <c r="A293" s="2"/>
      <c r="B293" s="2"/>
      <c r="C293" s="16" t="s">
        <v>618</v>
      </c>
      <c r="D293" s="3"/>
      <c r="E293" s="3"/>
      <c r="F293" s="3"/>
      <c r="G293" s="3"/>
      <c r="H293" s="29">
        <v>0</v>
      </c>
      <c r="I293" s="29">
        <v>0</v>
      </c>
      <c r="J293" s="29">
        <v>0</v>
      </c>
      <c r="K293" s="29">
        <v>0</v>
      </c>
      <c r="L293" s="29">
        <v>0</v>
      </c>
      <c r="M293" s="2"/>
      <c r="N293" s="52"/>
    </row>
    <row r="294" spans="1:14" ht="25" customHeight="1">
      <c r="A294" s="2"/>
      <c r="B294" s="2"/>
      <c r="C294" s="16" t="s">
        <v>619</v>
      </c>
      <c r="D294" s="3"/>
      <c r="E294" s="3"/>
      <c r="F294" s="3"/>
      <c r="G294" s="3"/>
      <c r="H294" s="24">
        <f>-H264</f>
        <v>35</v>
      </c>
      <c r="I294" s="24">
        <f>SUM(I290:I293)</f>
        <v>35</v>
      </c>
      <c r="J294" s="24">
        <f>SUM(J290:J293)</f>
        <v>35</v>
      </c>
      <c r="K294" s="24">
        <f>SUM(K290:K293)</f>
        <v>35</v>
      </c>
      <c r="L294" s="24">
        <f>SUM(L290:L293)</f>
        <v>35</v>
      </c>
      <c r="M294" s="2"/>
      <c r="N294" s="52"/>
    </row>
    <row r="295" spans="1:14" ht="42" customHeight="1">
      <c r="A295" s="2"/>
      <c r="B295" s="2"/>
      <c r="C295" s="117" t="s">
        <v>620</v>
      </c>
      <c r="D295" s="118"/>
      <c r="E295" s="118"/>
      <c r="F295" s="118"/>
      <c r="G295" s="118"/>
      <c r="H295" s="122"/>
      <c r="I295" s="122"/>
      <c r="J295" s="122"/>
      <c r="K295" s="122"/>
      <c r="L295" s="122"/>
      <c r="M295" s="2"/>
      <c r="N295" s="52"/>
    </row>
    <row r="296" spans="1:14" ht="25" customHeight="1">
      <c r="A296" s="2"/>
      <c r="B296" s="2"/>
      <c r="C296" s="16"/>
      <c r="D296" s="3"/>
      <c r="E296" s="3"/>
      <c r="F296" s="3"/>
      <c r="G296" s="3"/>
      <c r="H296" s="24"/>
      <c r="I296" s="24"/>
      <c r="J296" s="24"/>
      <c r="K296" s="24"/>
      <c r="L296" s="24"/>
      <c r="M296" s="2"/>
      <c r="N296" s="52"/>
    </row>
    <row r="297" spans="1:14" ht="25" customHeight="1">
      <c r="A297" s="2"/>
      <c r="B297" s="2"/>
      <c r="C297" s="16"/>
      <c r="D297" s="3"/>
      <c r="E297" s="3"/>
      <c r="F297" s="3"/>
      <c r="G297" s="3"/>
      <c r="H297" s="24"/>
      <c r="I297" s="24"/>
      <c r="J297" s="24"/>
      <c r="K297" s="24"/>
      <c r="L297" s="24"/>
      <c r="M297" s="2"/>
      <c r="N297" s="52"/>
    </row>
    <row r="298" spans="1:14" ht="25" customHeight="1">
      <c r="A298" s="2"/>
      <c r="B298" s="2"/>
      <c r="C298" s="16"/>
      <c r="D298" s="3"/>
      <c r="E298" s="3"/>
      <c r="F298" s="3"/>
      <c r="G298" s="3"/>
      <c r="H298" s="24"/>
      <c r="I298" s="24"/>
      <c r="J298" s="24"/>
      <c r="K298" s="24"/>
      <c r="L298" s="24"/>
      <c r="M298" s="2"/>
      <c r="N298" s="52"/>
    </row>
    <row r="299" spans="1:14" ht="25" customHeight="1">
      <c r="A299" s="2"/>
      <c r="B299" s="2"/>
      <c r="C299" s="16"/>
      <c r="D299" s="3"/>
      <c r="E299" s="3"/>
      <c r="F299" s="3"/>
      <c r="G299" s="3"/>
      <c r="H299" s="24"/>
      <c r="I299" s="24"/>
      <c r="J299" s="24"/>
      <c r="K299" s="24"/>
      <c r="L299" s="24"/>
      <c r="M299" s="2"/>
      <c r="N299" s="52"/>
    </row>
    <row r="300" spans="1:14" ht="25" customHeight="1">
      <c r="A300" s="2"/>
      <c r="B300" s="2"/>
      <c r="C300" s="41" t="s">
        <v>623</v>
      </c>
      <c r="D300" s="7"/>
      <c r="E300" s="7"/>
      <c r="F300" s="7"/>
      <c r="G300" s="7"/>
      <c r="H300" s="7"/>
      <c r="I300" s="7"/>
      <c r="J300" s="7"/>
      <c r="K300" s="7"/>
      <c r="L300" s="7"/>
      <c r="M300" s="2"/>
      <c r="N300" s="52" t="s">
        <v>343</v>
      </c>
    </row>
    <row r="301" spans="1:14" ht="25" customHeight="1">
      <c r="A301" s="2"/>
      <c r="B301" s="2"/>
      <c r="C301" s="16" t="s">
        <v>624</v>
      </c>
      <c r="D301" s="3"/>
      <c r="E301" s="3"/>
      <c r="F301" s="3"/>
      <c r="G301" s="3"/>
      <c r="H301" s="29">
        <v>524</v>
      </c>
      <c r="I301" s="24">
        <f>I321</f>
        <v>461.48247529302137</v>
      </c>
      <c r="J301" s="24">
        <f>J321</f>
        <v>665.86847991177581</v>
      </c>
      <c r="K301" s="24">
        <f>K321</f>
        <v>493.36317971961751</v>
      </c>
      <c r="L301" s="24">
        <f>L321</f>
        <v>690.84941818648304</v>
      </c>
      <c r="M301" s="2"/>
      <c r="N301" s="52" t="s">
        <v>625</v>
      </c>
    </row>
    <row r="302" spans="1:14" ht="25" customHeight="1">
      <c r="A302" s="2"/>
      <c r="B302" s="2"/>
      <c r="C302" s="16" t="s">
        <v>626</v>
      </c>
      <c r="D302" s="3"/>
      <c r="E302" s="3"/>
      <c r="F302" s="3"/>
      <c r="G302" s="3"/>
      <c r="H302" s="30">
        <f>'01 Assumptions'!H46</f>
        <v>318</v>
      </c>
      <c r="I302" s="30">
        <f>'01 Assumptions'!I46</f>
        <v>340.4</v>
      </c>
      <c r="J302" s="30">
        <f>'01 Assumptions'!J46</f>
        <v>374.1</v>
      </c>
      <c r="K302" s="30">
        <f>'01 Assumptions'!K46</f>
        <v>396.1</v>
      </c>
      <c r="L302" s="30">
        <f>'01 Assumptions'!L46</f>
        <v>417.2</v>
      </c>
      <c r="M302" s="2"/>
      <c r="N302" s="52" t="s">
        <v>627</v>
      </c>
    </row>
    <row r="303" spans="1:14" ht="25" customHeight="1">
      <c r="A303" s="2"/>
      <c r="B303" s="2"/>
      <c r="C303" s="16" t="s">
        <v>628</v>
      </c>
      <c r="D303" s="3"/>
      <c r="E303" s="3"/>
      <c r="F303" s="3"/>
      <c r="G303" s="3"/>
      <c r="H303" s="24">
        <f>'03 Schedules'!H242*'01 Assumptions'!H45</f>
        <v>333.23448576554983</v>
      </c>
      <c r="I303" s="30">
        <f>I242*'01 Assumptions'!I45</f>
        <v>358.76597603654102</v>
      </c>
      <c r="J303" s="30">
        <f>J242*'01 Assumptions'!J45</f>
        <v>381.06609334790176</v>
      </c>
      <c r="K303" s="30">
        <f>K242*'01 Assumptions'!K45</f>
        <v>401.70494540206289</v>
      </c>
      <c r="L303" s="30">
        <f>L242*'01 Assumptions'!L45</f>
        <v>422.41160500067133</v>
      </c>
      <c r="M303" s="2"/>
      <c r="N303" s="52" t="s">
        <v>629</v>
      </c>
    </row>
    <row r="304" spans="1:14" ht="25" customHeight="1">
      <c r="A304" s="2"/>
      <c r="B304" s="2"/>
      <c r="C304" s="16" t="s">
        <v>630</v>
      </c>
      <c r="D304" s="3"/>
      <c r="E304" s="3"/>
      <c r="F304" s="3"/>
      <c r="G304" s="3"/>
      <c r="H304" s="29">
        <v>0</v>
      </c>
      <c r="I304" s="29">
        <v>0</v>
      </c>
      <c r="J304" s="29">
        <v>0</v>
      </c>
      <c r="K304" s="29">
        <v>0</v>
      </c>
      <c r="L304" s="29">
        <v>0</v>
      </c>
      <c r="M304" s="2"/>
      <c r="N304" s="52" t="s">
        <v>631</v>
      </c>
    </row>
    <row r="305" spans="1:14" ht="25" customHeight="1">
      <c r="A305" s="2"/>
      <c r="B305" s="2"/>
      <c r="C305" s="16" t="s">
        <v>632</v>
      </c>
      <c r="D305" s="3"/>
      <c r="E305" s="3"/>
      <c r="F305" s="3"/>
      <c r="G305" s="3"/>
      <c r="H305" s="29">
        <v>0</v>
      </c>
      <c r="I305" s="29">
        <v>0</v>
      </c>
      <c r="J305" s="29">
        <v>0</v>
      </c>
      <c r="K305" s="29">
        <v>0</v>
      </c>
      <c r="L305" s="29">
        <v>0</v>
      </c>
      <c r="M305" s="2"/>
      <c r="N305" s="52" t="s">
        <v>633</v>
      </c>
    </row>
    <row r="306" spans="1:14" ht="25" customHeight="1">
      <c r="A306" s="2"/>
      <c r="B306" s="2"/>
      <c r="C306" s="16" t="s">
        <v>634</v>
      </c>
      <c r="D306" s="3"/>
      <c r="E306" s="3"/>
      <c r="F306" s="3"/>
      <c r="G306" s="3"/>
      <c r="H306" s="29">
        <v>0</v>
      </c>
      <c r="I306" s="29">
        <v>0</v>
      </c>
      <c r="J306" s="29">
        <v>0</v>
      </c>
      <c r="K306" s="29">
        <v>0</v>
      </c>
      <c r="L306" s="29">
        <v>0</v>
      </c>
      <c r="M306" s="2"/>
      <c r="N306" s="52" t="s">
        <v>635</v>
      </c>
    </row>
    <row r="307" spans="1:14" ht="25" customHeight="1">
      <c r="A307" s="2"/>
      <c r="B307" s="2"/>
      <c r="C307" s="16" t="s">
        <v>636</v>
      </c>
      <c r="D307" s="3"/>
      <c r="E307" s="3"/>
      <c r="F307" s="3"/>
      <c r="G307" s="3"/>
      <c r="H307" s="24"/>
      <c r="I307" s="24">
        <f>I319</f>
        <v>461.48247529302137</v>
      </c>
      <c r="J307" s="24">
        <f>J319</f>
        <v>665.86847991177581</v>
      </c>
      <c r="K307" s="24">
        <f>K319</f>
        <v>493.36317971961751</v>
      </c>
      <c r="L307" s="24">
        <f>L319</f>
        <v>690.84941818648304</v>
      </c>
      <c r="M307" s="2"/>
      <c r="N307" s="52" t="s">
        <v>637</v>
      </c>
    </row>
    <row r="308" spans="1:14" ht="25" customHeight="1">
      <c r="A308" s="2"/>
      <c r="B308" s="2"/>
      <c r="C308" s="16" t="s">
        <v>638</v>
      </c>
      <c r="D308" s="3"/>
      <c r="E308" s="3"/>
      <c r="F308" s="3"/>
      <c r="G308" s="3"/>
      <c r="H308" s="24"/>
      <c r="I308" s="24">
        <f>I322</f>
        <v>0</v>
      </c>
      <c r="J308" s="24">
        <f>J322</f>
        <v>0</v>
      </c>
      <c r="K308" s="24">
        <f>K322</f>
        <v>0</v>
      </c>
      <c r="L308" s="24">
        <f>L322</f>
        <v>0</v>
      </c>
      <c r="M308" s="2"/>
      <c r="N308" s="52" t="s">
        <v>639</v>
      </c>
    </row>
    <row r="309" spans="1:14" ht="25" customHeight="1">
      <c r="A309" s="2"/>
      <c r="B309" s="2"/>
      <c r="C309" s="16"/>
      <c r="D309" s="3"/>
      <c r="E309" s="3"/>
      <c r="F309" s="3"/>
      <c r="G309" s="3"/>
      <c r="H309" s="24"/>
      <c r="I309" s="24"/>
      <c r="J309" s="24"/>
      <c r="K309" s="24"/>
      <c r="L309" s="24"/>
      <c r="M309" s="2"/>
      <c r="N309" s="52"/>
    </row>
    <row r="310" spans="1:14" ht="25" customHeight="1">
      <c r="A310" s="2"/>
      <c r="B310" s="2"/>
      <c r="C310" s="16" t="s">
        <v>334</v>
      </c>
      <c r="D310" s="3"/>
      <c r="E310" s="3"/>
      <c r="F310" s="3"/>
      <c r="G310" s="3"/>
      <c r="H310" s="24"/>
      <c r="I310" s="30">
        <f>'02 Model'!I134</f>
        <v>75.748154697716203</v>
      </c>
      <c r="J310" s="30">
        <f>'02 Model'!J134</f>
        <v>63.999999999999957</v>
      </c>
      <c r="K310" s="30">
        <f>'02 Model'!K134</f>
        <v>63.999999999999957</v>
      </c>
      <c r="L310" s="30">
        <f>'02 Model'!L134</f>
        <v>63.999999999999957</v>
      </c>
      <c r="M310" s="2"/>
      <c r="N310" s="52"/>
    </row>
    <row r="311" spans="1:14" ht="25" customHeight="1">
      <c r="A311" s="2"/>
      <c r="B311" s="2"/>
      <c r="C311" s="16" t="s">
        <v>273</v>
      </c>
      <c r="D311" s="3"/>
      <c r="E311" s="3"/>
      <c r="F311" s="3"/>
      <c r="G311" s="3"/>
      <c r="H311" s="24"/>
      <c r="I311" s="30">
        <f>'02 Model'!I99</f>
        <v>1377.568274688894</v>
      </c>
      <c r="J311" s="30">
        <f>'02 Model'!J99</f>
        <v>1612.7405888146486</v>
      </c>
      <c r="K311" s="30">
        <f>'02 Model'!K99</f>
        <v>1533.4507656077085</v>
      </c>
      <c r="L311" s="30">
        <f>'02 Model'!L99</f>
        <v>1771.4848225188759</v>
      </c>
      <c r="M311" s="2"/>
      <c r="N311" s="52"/>
    </row>
    <row r="312" spans="1:14" ht="25" customHeight="1">
      <c r="A312" s="2"/>
      <c r="B312" s="2"/>
      <c r="C312" s="16" t="s">
        <v>294</v>
      </c>
      <c r="D312" s="3"/>
      <c r="E312" s="3"/>
      <c r="F312" s="3"/>
      <c r="G312" s="3"/>
      <c r="H312" s="24"/>
      <c r="I312" s="30">
        <f>'02 Model'!I111</f>
        <v>-252</v>
      </c>
      <c r="J312" s="30">
        <f>'02 Model'!J111</f>
        <v>-227</v>
      </c>
      <c r="K312" s="30">
        <f>'02 Model'!K111</f>
        <v>-289</v>
      </c>
      <c r="L312" s="30">
        <f>'02 Model'!L111</f>
        <v>-300</v>
      </c>
      <c r="M312" s="2"/>
      <c r="N312" s="52"/>
    </row>
    <row r="313" spans="1:14" ht="25" customHeight="1">
      <c r="A313" s="2"/>
      <c r="B313" s="2"/>
      <c r="C313" s="16" t="s">
        <v>640</v>
      </c>
      <c r="D313" s="3"/>
      <c r="E313" s="3"/>
      <c r="F313" s="3"/>
      <c r="G313" s="3"/>
      <c r="H313" s="24"/>
      <c r="I313" s="30">
        <f>SUM('02 Model'!I115:I127,'02 Model'!I129:I130)</f>
        <v>-675.83395409358889</v>
      </c>
      <c r="J313" s="30">
        <f>SUM('02 Model'!J115:J127,'02 Model'!J129:J130)</f>
        <v>-719.87210890287281</v>
      </c>
      <c r="K313" s="30">
        <f>SUM('02 Model'!K115:K127,'02 Model'!K129:K130)</f>
        <v>-751.08758588809098</v>
      </c>
      <c r="L313" s="30">
        <f>SUM('02 Model'!L115:L127,'02 Model'!L129:L130)</f>
        <v>-780.63540433239291</v>
      </c>
      <c r="M313" s="2"/>
      <c r="N313" s="52"/>
    </row>
    <row r="314" spans="1:14" ht="25" customHeight="1">
      <c r="A314" s="2"/>
      <c r="B314" s="2"/>
      <c r="C314" s="16" t="s">
        <v>641</v>
      </c>
      <c r="D314" s="3"/>
      <c r="E314" s="3"/>
      <c r="F314" s="3"/>
      <c r="G314" s="3"/>
      <c r="H314" s="24"/>
      <c r="I314" s="30">
        <f>'02 Model'!I135+'02 Model'!I136</f>
        <v>0</v>
      </c>
      <c r="J314" s="30">
        <f>'02 Model'!J135+'02 Model'!J136</f>
        <v>0</v>
      </c>
      <c r="K314" s="30">
        <f>'02 Model'!K135+'02 Model'!K136</f>
        <v>0</v>
      </c>
      <c r="L314" s="30">
        <f>'02 Model'!L135+'02 Model'!L136</f>
        <v>0</v>
      </c>
      <c r="M314" s="2"/>
      <c r="N314" s="52"/>
    </row>
    <row r="315" spans="1:14" ht="25" customHeight="1">
      <c r="A315" s="2"/>
      <c r="B315" s="2"/>
      <c r="C315" s="16" t="s">
        <v>642</v>
      </c>
      <c r="D315" s="3"/>
      <c r="E315" s="3"/>
      <c r="F315" s="3"/>
      <c r="G315" s="3"/>
      <c r="H315" s="24"/>
      <c r="I315" s="24">
        <f>SUM(I310:I314)</f>
        <v>525.48247529302137</v>
      </c>
      <c r="J315" s="24">
        <f>SUM(J310:J314)</f>
        <v>729.86847991177581</v>
      </c>
      <c r="K315" s="24">
        <f>SUM(K310:K314)</f>
        <v>557.36317971961751</v>
      </c>
      <c r="L315" s="24">
        <f>SUM(L310:L314)</f>
        <v>754.84941818648304</v>
      </c>
      <c r="M315" s="2"/>
      <c r="N315" s="52"/>
    </row>
    <row r="316" spans="1:14" ht="25" customHeight="1">
      <c r="A316" s="2"/>
      <c r="B316" s="2"/>
      <c r="C316" s="16" t="s">
        <v>643</v>
      </c>
      <c r="D316" s="3"/>
      <c r="E316" s="3"/>
      <c r="F316" s="3"/>
      <c r="G316" s="3"/>
      <c r="H316" s="24"/>
      <c r="I316" s="30">
        <f>'01 Assumptions'!I33</f>
        <v>100</v>
      </c>
      <c r="J316" s="30">
        <f>'01 Assumptions'!J33</f>
        <v>100</v>
      </c>
      <c r="K316" s="30">
        <f>'01 Assumptions'!K33</f>
        <v>100</v>
      </c>
      <c r="L316" s="30">
        <f>'01 Assumptions'!L33</f>
        <v>100</v>
      </c>
      <c r="M316" s="2"/>
      <c r="N316" s="52"/>
    </row>
    <row r="317" spans="1:14" ht="25" customHeight="1">
      <c r="A317" s="2"/>
      <c r="B317" s="2"/>
      <c r="C317" s="16" t="s">
        <v>644</v>
      </c>
      <c r="D317" s="3"/>
      <c r="E317" s="3"/>
      <c r="F317" s="3"/>
      <c r="G317" s="3"/>
      <c r="H317" s="24"/>
      <c r="I317" s="24">
        <f>I152</f>
        <v>36</v>
      </c>
      <c r="J317" s="24">
        <f>J152</f>
        <v>36</v>
      </c>
      <c r="K317" s="24">
        <f>K152</f>
        <v>36</v>
      </c>
      <c r="L317" s="24">
        <f>L152</f>
        <v>36</v>
      </c>
      <c r="M317" s="2"/>
      <c r="N317" s="52"/>
    </row>
    <row r="318" spans="1:14" ht="25" customHeight="1">
      <c r="A318" s="2"/>
      <c r="B318" s="2"/>
      <c r="C318" s="16" t="s">
        <v>645</v>
      </c>
      <c r="D318" s="3"/>
      <c r="E318" s="3"/>
      <c r="F318" s="3"/>
      <c r="G318" s="3"/>
      <c r="H318" s="24"/>
      <c r="I318" s="24">
        <f>I316-I317</f>
        <v>64</v>
      </c>
      <c r="J318" s="24">
        <f>J316-J317</f>
        <v>64</v>
      </c>
      <c r="K318" s="24">
        <f>K316-K317</f>
        <v>64</v>
      </c>
      <c r="L318" s="24">
        <f>L316-L317</f>
        <v>64</v>
      </c>
      <c r="M318" s="2"/>
      <c r="N318" s="52"/>
    </row>
    <row r="319" spans="1:14" ht="25" customHeight="1">
      <c r="A319" s="2"/>
      <c r="B319" s="2"/>
      <c r="C319" s="16" t="s">
        <v>646</v>
      </c>
      <c r="D319" s="3"/>
      <c r="E319" s="3"/>
      <c r="F319" s="3"/>
      <c r="G319" s="3"/>
      <c r="H319" s="24"/>
      <c r="I319" s="24">
        <f>MAX(0,I315-I318)</f>
        <v>461.48247529302137</v>
      </c>
      <c r="J319" s="24">
        <f>MAX(0,J315-J318)</f>
        <v>665.86847991177581</v>
      </c>
      <c r="K319" s="24">
        <f>MAX(0,K315-K318)</f>
        <v>493.36317971961751</v>
      </c>
      <c r="L319" s="24">
        <f>MAX(0,L315-L318)</f>
        <v>690.84941818648304</v>
      </c>
      <c r="M319" s="2"/>
      <c r="N319" s="52"/>
    </row>
    <row r="320" spans="1:14" ht="25" customHeight="1">
      <c r="A320" s="2"/>
      <c r="B320" s="2"/>
      <c r="C320" s="16" t="s">
        <v>647</v>
      </c>
      <c r="D320" s="3"/>
      <c r="E320" s="3"/>
      <c r="F320" s="3"/>
      <c r="G320" s="3"/>
      <c r="H320" s="24"/>
      <c r="I320" s="30">
        <f>'01 Assumptions'!I49</f>
        <v>1</v>
      </c>
      <c r="J320" s="30">
        <f>'01 Assumptions'!J49</f>
        <v>1</v>
      </c>
      <c r="K320" s="30">
        <f>'01 Assumptions'!K49</f>
        <v>1</v>
      </c>
      <c r="L320" s="30">
        <f>'01 Assumptions'!L49</f>
        <v>1</v>
      </c>
      <c r="M320" s="2"/>
      <c r="N320" s="52"/>
    </row>
    <row r="321" spans="1:14" ht="25" customHeight="1">
      <c r="A321" s="2"/>
      <c r="B321" s="2"/>
      <c r="C321" s="16" t="s">
        <v>648</v>
      </c>
      <c r="D321" s="3"/>
      <c r="E321" s="3"/>
      <c r="F321" s="3"/>
      <c r="G321" s="3"/>
      <c r="H321" s="24"/>
      <c r="I321" s="24">
        <f>IF(I320=1,I319,0)</f>
        <v>461.48247529302137</v>
      </c>
      <c r="J321" s="24">
        <f>IF(J320=1,J319,0)</f>
        <v>665.86847991177581</v>
      </c>
      <c r="K321" s="24">
        <f>IF(K320=1,K319,0)</f>
        <v>493.36317971961751</v>
      </c>
      <c r="L321" s="24">
        <f>IF(L320=1,L319,0)</f>
        <v>690.84941818648304</v>
      </c>
      <c r="M321" s="2"/>
      <c r="N321" s="52"/>
    </row>
    <row r="322" spans="1:14" ht="25" customHeight="1">
      <c r="A322" s="2"/>
      <c r="B322" s="2"/>
      <c r="C322" s="16" t="s">
        <v>649</v>
      </c>
      <c r="D322" s="3"/>
      <c r="E322" s="3"/>
      <c r="F322" s="3"/>
      <c r="G322" s="3"/>
      <c r="H322" s="24"/>
      <c r="I322" s="24">
        <f>IF(I320=0,I319,0)</f>
        <v>0</v>
      </c>
      <c r="J322" s="24">
        <f>IF(J320=0,J319,0)</f>
        <v>0</v>
      </c>
      <c r="K322" s="24">
        <f>IF(K320=0,K319,0)</f>
        <v>0</v>
      </c>
      <c r="L322" s="24">
        <f>IF(L320=0,L319,0)</f>
        <v>0</v>
      </c>
      <c r="M322" s="2"/>
      <c r="N322" s="52"/>
    </row>
    <row r="323" spans="1:14" ht="25" customHeight="1">
      <c r="A323" s="2"/>
      <c r="B323" s="2"/>
      <c r="C323" s="16" t="s">
        <v>650</v>
      </c>
      <c r="D323" s="3"/>
      <c r="E323" s="3"/>
      <c r="F323" s="3"/>
      <c r="G323" s="3"/>
      <c r="H323" s="24"/>
      <c r="I323" s="24">
        <f>I319-I321-I322</f>
        <v>0</v>
      </c>
      <c r="J323" s="24">
        <f>J319-J321-J322</f>
        <v>0</v>
      </c>
      <c r="K323" s="24">
        <f>K319-K321-K322</f>
        <v>0</v>
      </c>
      <c r="L323" s="24">
        <f>L319-L321-L322</f>
        <v>0</v>
      </c>
      <c r="M323" s="2"/>
      <c r="N323" s="52"/>
    </row>
    <row r="324" spans="1:14" ht="25" customHeight="1">
      <c r="A324" s="2"/>
      <c r="B324" s="2"/>
      <c r="C324" s="16"/>
      <c r="D324" s="3"/>
      <c r="E324" s="3"/>
      <c r="F324" s="3"/>
      <c r="G324" s="3"/>
      <c r="H324" s="24"/>
      <c r="I324" s="24"/>
      <c r="J324" s="24"/>
      <c r="K324" s="24"/>
      <c r="L324" s="24"/>
      <c r="M324" s="2"/>
      <c r="N324" s="52"/>
    </row>
    <row r="325" spans="1:14" ht="25" customHeight="1">
      <c r="A325" s="2"/>
      <c r="B325" s="2"/>
      <c r="C325" s="57" t="s">
        <v>651</v>
      </c>
      <c r="D325" s="56"/>
      <c r="E325" s="56"/>
      <c r="F325" s="56"/>
      <c r="G325" s="56"/>
      <c r="H325" s="56"/>
      <c r="I325" s="56"/>
      <c r="J325" s="56"/>
      <c r="K325" s="56"/>
      <c r="L325" s="56"/>
      <c r="M325" s="2"/>
      <c r="N325" s="52"/>
    </row>
    <row r="326" spans="1:14" ht="25" customHeight="1">
      <c r="A326" s="2"/>
      <c r="B326" s="2"/>
      <c r="C326" s="16" t="s">
        <v>652</v>
      </c>
      <c r="D326" s="3"/>
      <c r="E326" s="3"/>
      <c r="F326" s="3"/>
      <c r="G326" s="3"/>
      <c r="H326" s="30">
        <f>'03 Schedules'!H303</f>
        <v>333.23448576554983</v>
      </c>
      <c r="I326" s="30">
        <f>'03 Schedules'!I303</f>
        <v>358.76597603654102</v>
      </c>
      <c r="J326" s="30">
        <f>'03 Schedules'!J303</f>
        <v>381.06609334790176</v>
      </c>
      <c r="K326" s="30">
        <f>'03 Schedules'!K303</f>
        <v>401.70494540206289</v>
      </c>
      <c r="L326" s="30">
        <f>'03 Schedules'!L303</f>
        <v>422.41160500067133</v>
      </c>
      <c r="M326" s="2"/>
      <c r="N326" s="52"/>
    </row>
    <row r="327" spans="1:14" ht="25" customHeight="1">
      <c r="A327" s="2"/>
      <c r="B327" s="2"/>
      <c r="C327" s="16" t="s">
        <v>653</v>
      </c>
      <c r="D327" s="3"/>
      <c r="E327" s="3"/>
      <c r="F327" s="3"/>
      <c r="G327" s="3"/>
      <c r="H327" s="33">
        <v>0.6</v>
      </c>
      <c r="I327" s="33">
        <v>0.6</v>
      </c>
      <c r="J327" s="33">
        <v>0.6</v>
      </c>
      <c r="K327" s="33">
        <v>0.6</v>
      </c>
      <c r="L327" s="33">
        <v>0.6</v>
      </c>
      <c r="M327" s="2"/>
      <c r="N327" s="52"/>
    </row>
    <row r="328" spans="1:14" ht="25" customHeight="1">
      <c r="A328" s="2"/>
      <c r="B328" s="2"/>
      <c r="C328" s="16" t="s">
        <v>654</v>
      </c>
      <c r="D328" s="3"/>
      <c r="E328" s="3"/>
      <c r="F328" s="3"/>
      <c r="G328" s="3"/>
      <c r="H328" s="25">
        <f>1-H327</f>
        <v>0.4</v>
      </c>
      <c r="I328" s="25">
        <f>1-I327</f>
        <v>0.4</v>
      </c>
      <c r="J328" s="25">
        <f>1-J327</f>
        <v>0.4</v>
      </c>
      <c r="K328" s="25">
        <f>1-K327</f>
        <v>0.4</v>
      </c>
      <c r="L328" s="25">
        <f>1-L327</f>
        <v>0.4</v>
      </c>
      <c r="M328" s="2"/>
      <c r="N328" s="52"/>
    </row>
    <row r="329" spans="1:14" ht="25" customHeight="1">
      <c r="A329" s="2"/>
      <c r="B329" s="2"/>
      <c r="C329" s="16" t="s">
        <v>655</v>
      </c>
      <c r="D329" s="3"/>
      <c r="E329" s="3"/>
      <c r="F329" s="3"/>
      <c r="G329" s="3"/>
      <c r="H329" s="24" t="s">
        <v>72</v>
      </c>
      <c r="I329" s="24">
        <f>H326*I327+I326*I328</f>
        <v>343.44708187394633</v>
      </c>
      <c r="J329" s="24">
        <f>I326*J327+J326*J328</f>
        <v>367.68602296108531</v>
      </c>
      <c r="K329" s="24">
        <f>J326*K327+K326*K328</f>
        <v>389.32163416956621</v>
      </c>
      <c r="L329" s="24">
        <f>K326*L327+L326*L328</f>
        <v>409.98760924150628</v>
      </c>
      <c r="M329" s="2"/>
      <c r="N329" s="52"/>
    </row>
    <row r="330" spans="1:14" ht="25" customHeight="1">
      <c r="A330" s="2"/>
      <c r="B330" s="2"/>
      <c r="C330" s="16" t="s">
        <v>656</v>
      </c>
      <c r="D330" s="3"/>
      <c r="E330" s="3"/>
      <c r="F330" s="3"/>
      <c r="G330" s="3"/>
      <c r="H330" s="30">
        <f>'01 Assumptions'!H46</f>
        <v>318</v>
      </c>
      <c r="I330" s="30">
        <f>'01 Assumptions'!I46</f>
        <v>340.4</v>
      </c>
      <c r="J330" s="30">
        <f>'01 Assumptions'!J46</f>
        <v>374.1</v>
      </c>
      <c r="K330" s="30">
        <f>'01 Assumptions'!K46</f>
        <v>396.1</v>
      </c>
      <c r="L330" s="30">
        <f>'01 Assumptions'!L46</f>
        <v>417.2</v>
      </c>
      <c r="M330" s="2"/>
      <c r="N330" s="52"/>
    </row>
    <row r="331" spans="1:14" ht="25" customHeight="1">
      <c r="A331" s="2"/>
      <c r="B331" s="2"/>
      <c r="C331" s="16" t="s">
        <v>657</v>
      </c>
      <c r="D331" s="3"/>
      <c r="E331" s="3"/>
      <c r="F331" s="3"/>
      <c r="G331" s="3"/>
      <c r="H331" s="24" t="s">
        <v>72</v>
      </c>
      <c r="I331" s="24">
        <f>I330-I329</f>
        <v>-3.0470818739463539</v>
      </c>
      <c r="J331" s="24">
        <f>J330-J329</f>
        <v>6.4139770389147088</v>
      </c>
      <c r="K331" s="24">
        <f>K330-K329</f>
        <v>6.7783658304338132</v>
      </c>
      <c r="L331" s="24">
        <f>L330-L329</f>
        <v>7.2123907584937115</v>
      </c>
      <c r="M331" s="2"/>
      <c r="N331" s="52"/>
    </row>
    <row r="332" spans="1:14" ht="42" customHeight="1">
      <c r="A332" s="2"/>
      <c r="B332" s="2"/>
      <c r="C332" s="16" t="s">
        <v>658</v>
      </c>
      <c r="D332" s="3"/>
      <c r="E332" s="3"/>
      <c r="F332" s="3"/>
      <c r="G332" s="3"/>
      <c r="H332" s="58" t="s">
        <v>659</v>
      </c>
      <c r="I332" s="58" t="str">
        <f>IF(ABS(I331)&lt;=0.1,"ALIGNED","FIXED CASH PLAN")</f>
        <v>FIXED CASH PLAN</v>
      </c>
      <c r="J332" s="58" t="str">
        <f>IF(ABS(J331)&lt;=0.1,"ALIGNED","FIXED CASH PLAN")</f>
        <v>FIXED CASH PLAN</v>
      </c>
      <c r="K332" s="58" t="str">
        <f>IF(ABS(K331)&lt;=0.1,"ALIGNED","FIXED CASH PLAN")</f>
        <v>FIXED CASH PLAN</v>
      </c>
      <c r="L332" s="58" t="str">
        <f>IF(ABS(L331)&lt;=0.1,"ALIGNED","FIXED CASH PLAN")</f>
        <v>FIXED CASH PLAN</v>
      </c>
      <c r="M332" s="2"/>
      <c r="N332" s="52"/>
    </row>
    <row r="333" spans="1:14" ht="25" customHeight="1">
      <c r="A333" s="2"/>
      <c r="B333" s="2"/>
      <c r="C333" s="16"/>
      <c r="D333" s="3"/>
      <c r="E333" s="3"/>
      <c r="F333" s="3"/>
      <c r="G333" s="3"/>
      <c r="H333" s="24"/>
      <c r="I333" s="24"/>
      <c r="J333" s="24"/>
      <c r="K333" s="24"/>
      <c r="L333" s="24"/>
      <c r="M333" s="2"/>
      <c r="N333" s="52"/>
    </row>
    <row r="334" spans="1:14" ht="25" customHeight="1">
      <c r="A334" s="2"/>
      <c r="B334" s="2"/>
      <c r="C334" s="16"/>
      <c r="D334" s="3"/>
      <c r="E334" s="3"/>
      <c r="F334" s="3"/>
      <c r="G334" s="3"/>
      <c r="H334" s="24"/>
      <c r="I334" s="24"/>
      <c r="J334" s="24"/>
      <c r="K334" s="24"/>
      <c r="L334" s="24"/>
      <c r="M334" s="2"/>
      <c r="N334" s="52"/>
    </row>
    <row r="335" spans="1:14" ht="25" customHeight="1">
      <c r="A335" s="2"/>
      <c r="B335" s="2"/>
      <c r="C335" s="16"/>
      <c r="D335" s="3"/>
      <c r="E335" s="3"/>
      <c r="F335" s="3"/>
      <c r="G335" s="3"/>
      <c r="H335" s="24"/>
      <c r="I335" s="24"/>
      <c r="J335" s="24"/>
      <c r="K335" s="24"/>
      <c r="L335" s="24"/>
      <c r="M335" s="2"/>
      <c r="N335" s="52"/>
    </row>
    <row r="336" spans="1:14" ht="25" customHeight="1">
      <c r="A336" s="2"/>
      <c r="B336" s="2"/>
      <c r="C336" s="41" t="s">
        <v>660</v>
      </c>
      <c r="D336" s="7"/>
      <c r="E336" s="7"/>
      <c r="F336" s="7"/>
      <c r="G336" s="7"/>
      <c r="H336" s="7"/>
      <c r="I336" s="7"/>
      <c r="J336" s="7"/>
      <c r="K336" s="7"/>
      <c r="L336" s="7"/>
      <c r="M336" s="2"/>
      <c r="N336" s="52" t="s">
        <v>343</v>
      </c>
    </row>
    <row r="337" spans="1:14" ht="25" customHeight="1">
      <c r="A337" s="2"/>
      <c r="B337" s="2"/>
      <c r="C337" s="16" t="s">
        <v>661</v>
      </c>
      <c r="D337" s="3"/>
      <c r="E337" s="3"/>
      <c r="F337" s="3"/>
      <c r="G337" s="3"/>
      <c r="H337" s="29">
        <v>265</v>
      </c>
      <c r="I337" s="24">
        <f>-I383-I248</f>
        <v>319.88545859691891</v>
      </c>
      <c r="J337" s="24">
        <f>-J383-J248</f>
        <v>339.76337241873739</v>
      </c>
      <c r="K337" s="24">
        <f>-K383-K248</f>
        <v>358.08596918142433</v>
      </c>
      <c r="L337" s="24">
        <f>-L383-L248</f>
        <v>376.47204902133785</v>
      </c>
      <c r="M337" s="2"/>
      <c r="N337" s="52" t="s">
        <v>662</v>
      </c>
    </row>
    <row r="338" spans="1:14" ht="25" customHeight="1">
      <c r="A338" s="2"/>
      <c r="B338" s="2"/>
      <c r="C338" s="16" t="s">
        <v>663</v>
      </c>
      <c r="D338" s="3"/>
      <c r="E338" s="3"/>
      <c r="F338" s="3"/>
      <c r="G338" s="3"/>
      <c r="H338" s="29">
        <v>111</v>
      </c>
      <c r="I338" s="24"/>
      <c r="J338" s="24"/>
      <c r="K338" s="24"/>
      <c r="L338" s="24"/>
      <c r="M338" s="2"/>
      <c r="N338" s="52" t="s">
        <v>664</v>
      </c>
    </row>
    <row r="339" spans="1:14" ht="25" customHeight="1">
      <c r="A339" s="2"/>
      <c r="B339" s="2"/>
      <c r="C339" s="16" t="s">
        <v>665</v>
      </c>
      <c r="D339" s="3"/>
      <c r="E339" s="3"/>
      <c r="F339" s="3"/>
      <c r="G339" s="3"/>
      <c r="H339" s="30">
        <f>'02 Model'!G8-H338</f>
        <v>6790.3</v>
      </c>
      <c r="I339" s="24"/>
      <c r="J339" s="24"/>
      <c r="K339" s="24"/>
      <c r="L339" s="24"/>
      <c r="M339" s="2"/>
      <c r="N339" s="52" t="s">
        <v>666</v>
      </c>
    </row>
    <row r="340" spans="1:14" ht="25" customHeight="1">
      <c r="A340" s="2"/>
      <c r="B340" s="2"/>
      <c r="C340" s="16" t="s">
        <v>667</v>
      </c>
      <c r="D340" s="3"/>
      <c r="E340" s="3"/>
      <c r="F340" s="3"/>
      <c r="G340" s="3"/>
      <c r="H340" s="30">
        <f>H339*(1+'01 Assumptions'!H9)</f>
        <v>7265.621000000001</v>
      </c>
      <c r="I340" s="24"/>
      <c r="J340" s="24"/>
      <c r="K340" s="24"/>
      <c r="L340" s="24"/>
      <c r="M340" s="2"/>
      <c r="N340" s="52" t="s">
        <v>668</v>
      </c>
    </row>
    <row r="341" spans="1:14" ht="25" customHeight="1">
      <c r="A341" s="2"/>
      <c r="B341" s="2"/>
      <c r="C341" s="16" t="s">
        <v>669</v>
      </c>
      <c r="D341" s="3"/>
      <c r="E341" s="3"/>
      <c r="F341" s="3"/>
      <c r="G341" s="3"/>
      <c r="H341" s="29">
        <v>0</v>
      </c>
      <c r="I341" s="29">
        <v>0</v>
      </c>
      <c r="J341" s="29">
        <v>0</v>
      </c>
      <c r="K341" s="29">
        <v>0</v>
      </c>
      <c r="L341" s="29">
        <v>0</v>
      </c>
      <c r="M341" s="2"/>
      <c r="N341" s="52" t="s">
        <v>670</v>
      </c>
    </row>
    <row r="342" spans="1:14" ht="25" customHeight="1">
      <c r="A342" s="2"/>
      <c r="B342" s="2"/>
      <c r="C342" s="16" t="s">
        <v>671</v>
      </c>
      <c r="D342" s="3"/>
      <c r="E342" s="3"/>
      <c r="F342" s="3"/>
      <c r="G342" s="3"/>
      <c r="H342" s="29">
        <v>0</v>
      </c>
      <c r="I342" s="29">
        <v>0</v>
      </c>
      <c r="J342" s="29">
        <v>0</v>
      </c>
      <c r="K342" s="29">
        <v>0</v>
      </c>
      <c r="L342" s="29">
        <v>0</v>
      </c>
      <c r="M342" s="2"/>
      <c r="N342" s="52" t="s">
        <v>672</v>
      </c>
    </row>
    <row r="343" spans="1:14" ht="25" customHeight="1">
      <c r="A343" s="2"/>
      <c r="B343" s="2"/>
      <c r="C343" s="16" t="s">
        <v>673</v>
      </c>
      <c r="D343" s="3"/>
      <c r="E343" s="3"/>
      <c r="F343" s="3"/>
      <c r="G343" s="3"/>
      <c r="H343" s="29">
        <v>0</v>
      </c>
      <c r="I343" s="29">
        <v>0</v>
      </c>
      <c r="J343" s="29">
        <v>0</v>
      </c>
      <c r="K343" s="29">
        <v>0</v>
      </c>
      <c r="L343" s="29">
        <v>0</v>
      </c>
      <c r="M343" s="2"/>
      <c r="N343" s="52" t="s">
        <v>674</v>
      </c>
    </row>
    <row r="344" spans="1:14" ht="25" customHeight="1">
      <c r="A344" s="2"/>
      <c r="B344" s="2"/>
      <c r="C344" s="16" t="s">
        <v>675</v>
      </c>
      <c r="D344" s="3"/>
      <c r="E344" s="3"/>
      <c r="F344" s="3"/>
      <c r="G344" s="3"/>
      <c r="H344" s="29">
        <v>0</v>
      </c>
      <c r="I344" s="29">
        <v>0</v>
      </c>
      <c r="J344" s="29">
        <v>0</v>
      </c>
      <c r="K344" s="29">
        <v>0</v>
      </c>
      <c r="L344" s="29">
        <v>0</v>
      </c>
      <c r="M344" s="2"/>
      <c r="N344" s="52" t="s">
        <v>676</v>
      </c>
    </row>
    <row r="345" spans="1:14" ht="25" customHeight="1">
      <c r="A345" s="2"/>
      <c r="B345" s="2"/>
      <c r="C345" s="16" t="s">
        <v>677</v>
      </c>
      <c r="D345" s="3"/>
      <c r="E345" s="3"/>
      <c r="F345" s="3"/>
      <c r="G345" s="3"/>
      <c r="H345" s="29">
        <v>0</v>
      </c>
      <c r="I345" s="29">
        <v>0</v>
      </c>
      <c r="J345" s="29">
        <v>0</v>
      </c>
      <c r="K345" s="29">
        <v>0</v>
      </c>
      <c r="L345" s="29">
        <v>0</v>
      </c>
      <c r="M345" s="2"/>
      <c r="N345" s="52" t="s">
        <v>678</v>
      </c>
    </row>
    <row r="346" spans="1:14" ht="25" customHeight="1">
      <c r="A346" s="2"/>
      <c r="B346" s="2"/>
      <c r="C346" s="16"/>
      <c r="D346" s="3"/>
      <c r="E346" s="3"/>
      <c r="F346" s="3"/>
      <c r="G346" s="3"/>
      <c r="H346" s="24"/>
      <c r="I346" s="24"/>
      <c r="J346" s="24"/>
      <c r="K346" s="24"/>
      <c r="L346" s="24"/>
      <c r="M346" s="2"/>
      <c r="N346" s="52"/>
    </row>
    <row r="347" spans="1:14" ht="25" customHeight="1">
      <c r="A347" s="2"/>
      <c r="B347" s="2"/>
      <c r="C347" s="16" t="s">
        <v>156</v>
      </c>
      <c r="D347" s="28">
        <v>941.5</v>
      </c>
      <c r="E347" s="28">
        <v>987.9</v>
      </c>
      <c r="F347" s="28">
        <v>1075.4000000000001</v>
      </c>
      <c r="G347" s="28">
        <v>1278.8</v>
      </c>
      <c r="H347" s="24">
        <f>H378</f>
        <v>1332.1398849999996</v>
      </c>
      <c r="I347" s="24">
        <f>I378</f>
        <v>1419.9898363599998</v>
      </c>
      <c r="J347" s="24">
        <f>J378</f>
        <v>1502.3393493419496</v>
      </c>
      <c r="K347" s="24">
        <f>K378</f>
        <v>1577.6063168090475</v>
      </c>
      <c r="L347" s="24">
        <f>L378</f>
        <v>1653.1637581728687</v>
      </c>
      <c r="M347" s="2"/>
      <c r="N347" s="52"/>
    </row>
    <row r="348" spans="1:14" ht="25" customHeight="1">
      <c r="A348" s="2"/>
      <c r="B348" s="2"/>
      <c r="C348" s="16" t="s">
        <v>679</v>
      </c>
      <c r="D348" s="28">
        <v>80.599999999999994</v>
      </c>
      <c r="E348" s="28">
        <v>95.7</v>
      </c>
      <c r="F348" s="28">
        <v>117.9</v>
      </c>
      <c r="G348" s="28">
        <v>119.2</v>
      </c>
      <c r="H348" s="24">
        <f>-H21+H13+H14</f>
        <v>120</v>
      </c>
      <c r="I348" s="24">
        <f>-I21+I13+I14</f>
        <v>128</v>
      </c>
      <c r="J348" s="24">
        <f>-J21+J13+J14</f>
        <v>140</v>
      </c>
      <c r="K348" s="24">
        <f>-K21+K13+K14</f>
        <v>155</v>
      </c>
      <c r="L348" s="24">
        <f>-L21+L13+L14</f>
        <v>170</v>
      </c>
      <c r="M348" s="2"/>
      <c r="N348" s="52"/>
    </row>
    <row r="349" spans="1:14" ht="25" customHeight="1">
      <c r="A349" s="2"/>
      <c r="B349" s="2"/>
      <c r="C349" s="16" t="s">
        <v>680</v>
      </c>
      <c r="D349" s="28">
        <v>0</v>
      </c>
      <c r="E349" s="28">
        <v>0</v>
      </c>
      <c r="F349" s="28">
        <v>0</v>
      </c>
      <c r="G349" s="28">
        <v>-16.3</v>
      </c>
      <c r="H349" s="24">
        <f>H433</f>
        <v>0</v>
      </c>
      <c r="I349" s="24">
        <f>0</f>
        <v>0</v>
      </c>
      <c r="J349" s="24">
        <f>0</f>
        <v>0</v>
      </c>
      <c r="K349" s="24">
        <f>0</f>
        <v>0</v>
      </c>
      <c r="L349" s="24">
        <f>0</f>
        <v>0</v>
      </c>
      <c r="M349" s="2"/>
      <c r="N349" s="52"/>
    </row>
    <row r="350" spans="1:14" ht="25" customHeight="1">
      <c r="A350" s="2"/>
      <c r="B350" s="2"/>
      <c r="C350" s="16" t="s">
        <v>681</v>
      </c>
      <c r="D350" s="28">
        <v>72.7</v>
      </c>
      <c r="E350" s="28">
        <v>111.8</v>
      </c>
      <c r="F350" s="28">
        <v>137.9</v>
      </c>
      <c r="G350" s="28">
        <v>156.4</v>
      </c>
      <c r="H350" s="24">
        <f>-H72+H61+H60</f>
        <v>156</v>
      </c>
      <c r="I350" s="24">
        <f>-I72+I61+I60</f>
        <v>158</v>
      </c>
      <c r="J350" s="24">
        <f>-J72+J61+J60</f>
        <v>160</v>
      </c>
      <c r="K350" s="24">
        <f>-K72+K61+K60</f>
        <v>162</v>
      </c>
      <c r="L350" s="24">
        <f>-L72+L61+L60</f>
        <v>164</v>
      </c>
      <c r="M350" s="2"/>
      <c r="N350" s="52"/>
    </row>
    <row r="351" spans="1:14" ht="25" customHeight="1">
      <c r="A351" s="2"/>
      <c r="B351" s="2"/>
      <c r="C351" s="16" t="s">
        <v>682</v>
      </c>
      <c r="D351" s="28">
        <v>12.5</v>
      </c>
      <c r="E351" s="28">
        <v>38.5</v>
      </c>
      <c r="F351" s="28">
        <v>55.2</v>
      </c>
      <c r="G351" s="28">
        <v>59.1</v>
      </c>
      <c r="H351" s="24">
        <f>-H42+H30+H31</f>
        <v>58</v>
      </c>
      <c r="I351" s="24">
        <f>-I42+I30+I31</f>
        <v>60</v>
      </c>
      <c r="J351" s="24">
        <f>-J42+J30+J31</f>
        <v>62</v>
      </c>
      <c r="K351" s="24">
        <f>-K42+K30+K31</f>
        <v>64</v>
      </c>
      <c r="L351" s="24">
        <f>-L42+L30+L31</f>
        <v>66</v>
      </c>
      <c r="M351" s="2"/>
      <c r="N351" s="52"/>
    </row>
    <row r="352" spans="1:14" ht="25" customHeight="1">
      <c r="A352" s="2"/>
      <c r="B352" s="2"/>
      <c r="C352" s="16" t="s">
        <v>683</v>
      </c>
      <c r="D352" s="28">
        <v>1.1000000000000001</v>
      </c>
      <c r="E352" s="28">
        <v>0.8</v>
      </c>
      <c r="F352" s="28">
        <v>13.5</v>
      </c>
      <c r="G352" s="28">
        <v>5.6</v>
      </c>
      <c r="H352" s="24">
        <f>-H48</f>
        <v>0</v>
      </c>
      <c r="I352" s="24">
        <f>-I48</f>
        <v>0</v>
      </c>
      <c r="J352" s="24">
        <f>-J48</f>
        <v>0</v>
      </c>
      <c r="K352" s="24">
        <f>-K48</f>
        <v>0</v>
      </c>
      <c r="L352" s="24">
        <f>-L48</f>
        <v>0</v>
      </c>
      <c r="M352" s="2"/>
      <c r="N352" s="52"/>
    </row>
    <row r="353" spans="1:14" ht="25" customHeight="1">
      <c r="A353" s="2"/>
      <c r="B353" s="2"/>
      <c r="C353" s="16" t="s">
        <v>606</v>
      </c>
      <c r="D353" s="28">
        <v>24.3</v>
      </c>
      <c r="E353" s="28">
        <v>31.9</v>
      </c>
      <c r="F353" s="28">
        <v>40.9</v>
      </c>
      <c r="G353" s="28">
        <v>43.1</v>
      </c>
      <c r="H353" s="24">
        <f>H246</f>
        <v>45</v>
      </c>
      <c r="I353" s="24">
        <f>I246</f>
        <v>47</v>
      </c>
      <c r="J353" s="24">
        <f>J246</f>
        <v>49</v>
      </c>
      <c r="K353" s="24">
        <f>K246</f>
        <v>51</v>
      </c>
      <c r="L353" s="24">
        <f>L246</f>
        <v>53</v>
      </c>
      <c r="M353" s="2"/>
      <c r="N353" s="52"/>
    </row>
    <row r="354" spans="1:14" ht="25" customHeight="1">
      <c r="A354" s="2"/>
      <c r="B354" s="2"/>
      <c r="C354" s="16" t="s">
        <v>684</v>
      </c>
      <c r="D354" s="28">
        <v>-14.3</v>
      </c>
      <c r="E354" s="28">
        <v>-6.9</v>
      </c>
      <c r="F354" s="28">
        <v>-6.7</v>
      </c>
      <c r="G354" s="28">
        <v>-7.9</v>
      </c>
      <c r="H354" s="24">
        <f>-H47</f>
        <v>-8</v>
      </c>
      <c r="I354" s="24">
        <f>-I47</f>
        <v>-8.5</v>
      </c>
      <c r="J354" s="24">
        <f>-J47</f>
        <v>-9</v>
      </c>
      <c r="K354" s="24">
        <f>-K47</f>
        <v>-9.5</v>
      </c>
      <c r="L354" s="24">
        <f>-L47</f>
        <v>-10</v>
      </c>
      <c r="M354" s="2"/>
      <c r="N354" s="52"/>
    </row>
    <row r="355" spans="1:14" ht="25" customHeight="1">
      <c r="A355" s="2"/>
      <c r="B355" s="2"/>
      <c r="C355" s="16" t="s">
        <v>317</v>
      </c>
      <c r="D355" s="28">
        <v>0</v>
      </c>
      <c r="E355" s="28">
        <v>2.8</v>
      </c>
      <c r="F355" s="28">
        <v>7.4</v>
      </c>
      <c r="G355" s="28">
        <v>10.199999999999999</v>
      </c>
      <c r="H355" s="24">
        <f>H168+H169</f>
        <v>5.3670000000000009</v>
      </c>
      <c r="I355" s="24">
        <f>I168+I169</f>
        <v>5.7318150276757773</v>
      </c>
      <c r="J355" s="24">
        <f>J168+J169</f>
        <v>5.1999999999999993</v>
      </c>
      <c r="K355" s="24">
        <f>K168+K169</f>
        <v>5.2999999999999989</v>
      </c>
      <c r="L355" s="24">
        <f>L168+L169</f>
        <v>5.3999999999999986</v>
      </c>
      <c r="M355" s="2"/>
      <c r="N355" s="52"/>
    </row>
    <row r="356" spans="1:14" ht="25" customHeight="1">
      <c r="A356" s="2"/>
      <c r="B356" s="2"/>
      <c r="C356" s="16" t="s">
        <v>685</v>
      </c>
      <c r="D356" s="28">
        <v>-0.8</v>
      </c>
      <c r="E356" s="28">
        <v>-15.5</v>
      </c>
      <c r="F356" s="28">
        <v>-5.6</v>
      </c>
      <c r="G356" s="28">
        <v>5.5</v>
      </c>
      <c r="H356" s="24">
        <f>H434</f>
        <v>0</v>
      </c>
      <c r="I356" s="24">
        <f>I345</f>
        <v>0</v>
      </c>
      <c r="J356" s="24">
        <f>J345</f>
        <v>0</v>
      </c>
      <c r="K356" s="24">
        <f>K345</f>
        <v>0</v>
      </c>
      <c r="L356" s="24">
        <f>L345</f>
        <v>0</v>
      </c>
      <c r="M356" s="2"/>
      <c r="N356" s="52"/>
    </row>
    <row r="357" spans="1:14" ht="25" customHeight="1">
      <c r="A357" s="2"/>
      <c r="B357" s="2"/>
      <c r="C357" s="16" t="s">
        <v>686</v>
      </c>
      <c r="D357" s="28">
        <v>-22.8</v>
      </c>
      <c r="E357" s="28">
        <v>15.3</v>
      </c>
      <c r="F357" s="28">
        <v>-100.3</v>
      </c>
      <c r="G357" s="28">
        <v>-79.2</v>
      </c>
      <c r="H357" s="30">
        <f>-(H107-G107)-('02 Model'!H48-'02 Model'!G48)</f>
        <v>-10.356313106849758</v>
      </c>
      <c r="I357" s="30">
        <f>-(I107-H107)-('02 Model'!I48-'02 Model'!H48)</f>
        <v>-111.99629313358901</v>
      </c>
      <c r="J357" s="30">
        <f>-(J107-I107)-('02 Model'!J48-'02 Model'!I48)</f>
        <v>-7.2135323945103664</v>
      </c>
      <c r="K357" s="30">
        <f>-(K107-J107)-('02 Model'!K48-'02 Model'!J48)</f>
        <v>-107.82268156145801</v>
      </c>
      <c r="L357" s="30">
        <f>-(L107-K107)-('02 Model'!L48-'02 Model'!K48)</f>
        <v>2.511708414047007</v>
      </c>
      <c r="M357" s="2"/>
      <c r="N357" s="52"/>
    </row>
    <row r="358" spans="1:14" ht="25" customHeight="1">
      <c r="A358" s="2"/>
      <c r="B358" s="2"/>
      <c r="C358" s="16" t="s">
        <v>687</v>
      </c>
      <c r="D358" s="28">
        <v>-156.5</v>
      </c>
      <c r="E358" s="28">
        <v>3.7</v>
      </c>
      <c r="F358" s="28">
        <v>-52.3</v>
      </c>
      <c r="G358" s="28">
        <v>-153.69999999999999</v>
      </c>
      <c r="H358" s="24">
        <f>G118-H118</f>
        <v>12.678168999999798</v>
      </c>
      <c r="I358" s="24">
        <f>H118-I118</f>
        <v>-43.815309859999843</v>
      </c>
      <c r="J358" s="24">
        <f>I118-J118</f>
        <v>-45.219842747300163</v>
      </c>
      <c r="K358" s="24">
        <f>J118-K118</f>
        <v>-44.580437180364925</v>
      </c>
      <c r="L358" s="24">
        <f>K118-L118</f>
        <v>-43.896883735445044</v>
      </c>
      <c r="M358" s="2"/>
      <c r="N358" s="52"/>
    </row>
    <row r="359" spans="1:14" ht="25" customHeight="1">
      <c r="A359" s="2"/>
      <c r="B359" s="2"/>
      <c r="C359" s="16" t="s">
        <v>688</v>
      </c>
      <c r="D359" s="28">
        <v>12</v>
      </c>
      <c r="E359" s="28">
        <v>47.6</v>
      </c>
      <c r="F359" s="28">
        <v>93.2</v>
      </c>
      <c r="G359" s="28">
        <v>45.9</v>
      </c>
      <c r="H359" s="24">
        <f>H130-G130</f>
        <v>93.708280471233138</v>
      </c>
      <c r="I359" s="24">
        <f>I130-H130</f>
        <v>43.043684891726116</v>
      </c>
      <c r="J359" s="24">
        <f>J130-I130</f>
        <v>95.397987033246864</v>
      </c>
      <c r="K359" s="24">
        <f>K130-J130</f>
        <v>38.533536721908376</v>
      </c>
      <c r="L359" s="24">
        <f>L130-K130</f>
        <v>87.77828868874326</v>
      </c>
      <c r="M359" s="2"/>
      <c r="N359" s="52"/>
    </row>
    <row r="360" spans="1:14" ht="25" customHeight="1">
      <c r="A360" s="2"/>
      <c r="B360" s="2"/>
      <c r="C360" s="16" t="s">
        <v>269</v>
      </c>
      <c r="D360" s="28">
        <v>950.3</v>
      </c>
      <c r="E360" s="28">
        <v>1313.6</v>
      </c>
      <c r="F360" s="28">
        <v>1376.5</v>
      </c>
      <c r="G360" s="28">
        <v>1466.7</v>
      </c>
      <c r="H360" s="24">
        <f>SUM(H347:H359)</f>
        <v>1804.5370213643828</v>
      </c>
      <c r="I360" s="24">
        <f>SUM(I347:I359)</f>
        <v>1697.4537332858129</v>
      </c>
      <c r="J360" s="24">
        <f>SUM(J347:J359)</f>
        <v>1952.503961233386</v>
      </c>
      <c r="K360" s="24">
        <f>SUM(K347:K359)</f>
        <v>1891.5367347891329</v>
      </c>
      <c r="L360" s="24">
        <f>SUM(L347:L359)</f>
        <v>2147.9568715402138</v>
      </c>
      <c r="M360" s="2"/>
      <c r="N360" s="52"/>
    </row>
    <row r="361" spans="1:14" ht="25" customHeight="1">
      <c r="A361" s="2"/>
      <c r="B361" s="2"/>
      <c r="C361" s="16"/>
      <c r="D361" s="3"/>
      <c r="E361" s="3"/>
      <c r="F361" s="3"/>
      <c r="G361" s="3"/>
      <c r="H361" s="24"/>
      <c r="I361" s="24"/>
      <c r="J361" s="24"/>
      <c r="K361" s="24"/>
      <c r="L361" s="24"/>
      <c r="M361" s="2"/>
      <c r="N361" s="52"/>
    </row>
    <row r="362" spans="1:14" ht="25" customHeight="1">
      <c r="A362" s="2"/>
      <c r="B362" s="2"/>
      <c r="C362" s="16" t="s">
        <v>33</v>
      </c>
      <c r="D362" s="3"/>
      <c r="E362" s="3"/>
      <c r="F362" s="3"/>
      <c r="G362" s="3"/>
      <c r="H362" s="24">
        <f>H340</f>
        <v>7265.621000000001</v>
      </c>
      <c r="I362" s="24">
        <f>H362*(1+I363)</f>
        <v>7701.5582600000016</v>
      </c>
      <c r="J362" s="24">
        <f>I362*(1+J363)</f>
        <v>8125.1439643000012</v>
      </c>
      <c r="K362" s="24">
        <f>J362*(1+K363)</f>
        <v>8531.4011625150015</v>
      </c>
      <c r="L362" s="24">
        <f>K362*(1+L363)</f>
        <v>8915.3142148281768</v>
      </c>
      <c r="M362" s="2"/>
      <c r="N362" s="52"/>
    </row>
    <row r="363" spans="1:14" ht="25" customHeight="1">
      <c r="A363" s="2"/>
      <c r="B363" s="2"/>
      <c r="C363" s="16" t="s">
        <v>54</v>
      </c>
      <c r="D363" s="3"/>
      <c r="E363" s="3"/>
      <c r="F363" s="3"/>
      <c r="G363" s="3"/>
      <c r="H363" s="30">
        <f>'01 Assumptions'!H9</f>
        <v>7.0000000000000007E-2</v>
      </c>
      <c r="I363" s="30">
        <f>'01 Assumptions'!I9</f>
        <v>0.06</v>
      </c>
      <c r="J363" s="30">
        <f>'01 Assumptions'!J9</f>
        <v>5.5E-2</v>
      </c>
      <c r="K363" s="30">
        <f>'01 Assumptions'!K9</f>
        <v>0.05</v>
      </c>
      <c r="L363" s="30">
        <f>'01 Assumptions'!L9</f>
        <v>4.4999999999999998E-2</v>
      </c>
      <c r="M363" s="2"/>
      <c r="N363" s="52"/>
    </row>
    <row r="364" spans="1:14" ht="25" customHeight="1">
      <c r="A364" s="2"/>
      <c r="B364" s="2"/>
      <c r="C364" s="16" t="s">
        <v>128</v>
      </c>
      <c r="D364" s="3"/>
      <c r="E364" s="3"/>
      <c r="F364" s="3"/>
      <c r="G364" s="3"/>
      <c r="H364" s="24">
        <f>-H362*H365</f>
        <v>-4046.9508970000011</v>
      </c>
      <c r="I364" s="24">
        <f>-I362*I365</f>
        <v>-4297.4695090800014</v>
      </c>
      <c r="J364" s="24">
        <f>-J362*J365</f>
        <v>-4541.9554760437013</v>
      </c>
      <c r="K364" s="24">
        <f>-K362*K365</f>
        <v>-4777.5846510084011</v>
      </c>
      <c r="L364" s="24">
        <f>-L362*L365</f>
        <v>-4992.5759603037795</v>
      </c>
      <c r="M364" s="2"/>
      <c r="N364" s="52"/>
    </row>
    <row r="365" spans="1:14" ht="25" customHeight="1">
      <c r="A365" s="2"/>
      <c r="B365" s="2"/>
      <c r="C365" s="16" t="s">
        <v>130</v>
      </c>
      <c r="D365" s="3"/>
      <c r="E365" s="3"/>
      <c r="F365" s="3"/>
      <c r="G365" s="3"/>
      <c r="H365" s="30">
        <f>'01 Assumptions'!H10</f>
        <v>0.55700000000000005</v>
      </c>
      <c r="I365" s="30">
        <f>'01 Assumptions'!I10</f>
        <v>0.55800000000000005</v>
      </c>
      <c r="J365" s="30">
        <f>'01 Assumptions'!J10</f>
        <v>0.55900000000000005</v>
      </c>
      <c r="K365" s="30">
        <f>'01 Assumptions'!K10</f>
        <v>0.56000000000000005</v>
      </c>
      <c r="L365" s="30">
        <f>'01 Assumptions'!L10</f>
        <v>0.56000000000000005</v>
      </c>
      <c r="M365" s="2"/>
      <c r="N365" s="52"/>
    </row>
    <row r="366" spans="1:14" ht="25" customHeight="1">
      <c r="A366" s="2"/>
      <c r="B366" s="2"/>
      <c r="C366" s="16" t="s">
        <v>132</v>
      </c>
      <c r="D366" s="3"/>
      <c r="E366" s="3"/>
      <c r="F366" s="3"/>
      <c r="G366" s="3"/>
      <c r="H366" s="30">
        <f>-'01 Assumptions'!H13</f>
        <v>-20</v>
      </c>
      <c r="I366" s="30">
        <f>-'01 Assumptions'!I13</f>
        <v>-21</v>
      </c>
      <c r="J366" s="30">
        <f>-'01 Assumptions'!J13</f>
        <v>-22</v>
      </c>
      <c r="K366" s="30">
        <f>-'01 Assumptions'!K13</f>
        <v>-23</v>
      </c>
      <c r="L366" s="30">
        <f>-'01 Assumptions'!L13</f>
        <v>-24</v>
      </c>
      <c r="M366" s="2"/>
      <c r="N366" s="52"/>
    </row>
    <row r="367" spans="1:14" ht="25" customHeight="1">
      <c r="A367" s="2"/>
      <c r="B367" s="2"/>
      <c r="C367" s="16" t="s">
        <v>134</v>
      </c>
      <c r="D367" s="3"/>
      <c r="E367" s="3"/>
      <c r="F367" s="3"/>
      <c r="G367" s="3"/>
      <c r="H367" s="24">
        <f>IF(COUNT(H366)=0,"",SUM(H362,H364,H366))</f>
        <v>3198.6701029999999</v>
      </c>
      <c r="I367" s="24">
        <f>IF(COUNT(I366)=0,"",SUM(I362,I364,I366))</f>
        <v>3383.0887509200002</v>
      </c>
      <c r="J367" s="24">
        <f>IF(COUNT(J366)=0,"",SUM(J362,J364,J366))</f>
        <v>3561.1884882562999</v>
      </c>
      <c r="K367" s="24">
        <f>IF(COUNT(K366)=0,"",SUM(K362,K364,K366))</f>
        <v>3730.8165115066004</v>
      </c>
      <c r="L367" s="24">
        <f>IF(COUNT(L366)=0,"",SUM(L362,L364,L366))</f>
        <v>3898.7382545243972</v>
      </c>
      <c r="M367" s="2"/>
      <c r="N367" s="52"/>
    </row>
    <row r="368" spans="1:14" ht="25" customHeight="1">
      <c r="A368" s="2"/>
      <c r="B368" s="2"/>
      <c r="C368" s="16" t="s">
        <v>136</v>
      </c>
      <c r="D368" s="3"/>
      <c r="E368" s="3"/>
      <c r="F368" s="3"/>
      <c r="G368" s="3"/>
      <c r="H368" s="24">
        <f>IF(H367="","",H367/H362)</f>
        <v>0.44024731031249764</v>
      </c>
      <c r="I368" s="24">
        <f>IF(I367="","",I367/I362)</f>
        <v>0.43927327908313446</v>
      </c>
      <c r="J368" s="24">
        <f>IF(J367="","",J367/J362)</f>
        <v>0.43829235566819941</v>
      </c>
      <c r="K368" s="24">
        <f>IF(K367="","",K367/K362)</f>
        <v>0.43730407707223323</v>
      </c>
      <c r="L368" s="24">
        <f>IF(L367="","",L367/L362)</f>
        <v>0.43730800290133542</v>
      </c>
      <c r="M368" s="2"/>
      <c r="N368" s="52"/>
    </row>
    <row r="369" spans="1:14" ht="25" customHeight="1">
      <c r="A369" s="2"/>
      <c r="B369" s="2"/>
      <c r="C369" s="16" t="s">
        <v>138</v>
      </c>
      <c r="D369" s="3"/>
      <c r="E369" s="3"/>
      <c r="F369" s="3"/>
      <c r="G369" s="3"/>
      <c r="H369" s="24">
        <f>-H362*H370</f>
        <v>-1075.3119080000001</v>
      </c>
      <c r="I369" s="24">
        <f>-I362*I370</f>
        <v>-1132.1290642200001</v>
      </c>
      <c r="J369" s="24">
        <f>-J362*J370</f>
        <v>-1190.3335907699502</v>
      </c>
      <c r="K369" s="24">
        <f>-K362*K370</f>
        <v>-1245.5845697271902</v>
      </c>
      <c r="L369" s="24">
        <f>-L362*L370</f>
        <v>-1301.6358753649138</v>
      </c>
      <c r="M369" s="2"/>
      <c r="N369" s="52"/>
    </row>
    <row r="370" spans="1:14" ht="25" customHeight="1">
      <c r="A370" s="2"/>
      <c r="B370" s="2"/>
      <c r="C370" s="16" t="s">
        <v>140</v>
      </c>
      <c r="D370" s="3"/>
      <c r="E370" s="3"/>
      <c r="F370" s="3"/>
      <c r="G370" s="3"/>
      <c r="H370" s="30">
        <f>'01 Assumptions'!H11</f>
        <v>0.14799999999999999</v>
      </c>
      <c r="I370" s="30">
        <f>'01 Assumptions'!I11</f>
        <v>0.14699999999999999</v>
      </c>
      <c r="J370" s="30">
        <f>'01 Assumptions'!J11</f>
        <v>0.14649999999999999</v>
      </c>
      <c r="K370" s="30">
        <f>'01 Assumptions'!K11</f>
        <v>0.14599999999999999</v>
      </c>
      <c r="L370" s="30">
        <f>'01 Assumptions'!L11</f>
        <v>0.14599999999999999</v>
      </c>
      <c r="M370" s="2"/>
      <c r="N370" s="52"/>
    </row>
    <row r="371" spans="1:14" ht="25" customHeight="1">
      <c r="A371" s="2"/>
      <c r="B371" s="2"/>
      <c r="C371" s="16" t="s">
        <v>142</v>
      </c>
      <c r="D371" s="3"/>
      <c r="E371" s="3"/>
      <c r="F371" s="3"/>
      <c r="G371" s="3"/>
      <c r="H371" s="24">
        <f>-H362*H372</f>
        <v>-799.21831000000009</v>
      </c>
      <c r="I371" s="24">
        <f>-I362*I372</f>
        <v>-839.46985034000022</v>
      </c>
      <c r="J371" s="24">
        <f>-J362*J372</f>
        <v>-877.5155481444001</v>
      </c>
      <c r="K371" s="24">
        <f>-K362*K372</f>
        <v>-917.12562497036265</v>
      </c>
      <c r="L371" s="24">
        <f>-L362*L372</f>
        <v>-953.93862098661486</v>
      </c>
      <c r="M371" s="2"/>
      <c r="N371" s="52"/>
    </row>
    <row r="372" spans="1:14" ht="25" customHeight="1">
      <c r="A372" s="2"/>
      <c r="B372" s="2"/>
      <c r="C372" s="16" t="s">
        <v>144</v>
      </c>
      <c r="D372" s="3"/>
      <c r="E372" s="3"/>
      <c r="F372" s="3"/>
      <c r="G372" s="3"/>
      <c r="H372" s="30">
        <f>'01 Assumptions'!H12</f>
        <v>0.11</v>
      </c>
      <c r="I372" s="30">
        <f>'01 Assumptions'!I12</f>
        <v>0.109</v>
      </c>
      <c r="J372" s="30">
        <f>'01 Assumptions'!J12</f>
        <v>0.108</v>
      </c>
      <c r="K372" s="30">
        <f>'01 Assumptions'!K12</f>
        <v>0.1075</v>
      </c>
      <c r="L372" s="30">
        <f>'01 Assumptions'!L12</f>
        <v>0.107</v>
      </c>
      <c r="M372" s="2"/>
      <c r="N372" s="52"/>
    </row>
    <row r="373" spans="1:14" ht="25" customHeight="1">
      <c r="A373" s="2"/>
      <c r="B373" s="2"/>
      <c r="C373" s="16" t="s">
        <v>146</v>
      </c>
      <c r="D373" s="3"/>
      <c r="E373" s="3"/>
      <c r="F373" s="3"/>
      <c r="G373" s="3"/>
      <c r="H373" s="24">
        <f>H341</f>
        <v>0</v>
      </c>
      <c r="I373" s="24">
        <f>I341</f>
        <v>0</v>
      </c>
      <c r="J373" s="24">
        <f>J341</f>
        <v>0</v>
      </c>
      <c r="K373" s="24">
        <f>K341</f>
        <v>0</v>
      </c>
      <c r="L373" s="24">
        <f>L341</f>
        <v>0</v>
      </c>
      <c r="M373" s="2"/>
      <c r="N373" s="52"/>
    </row>
    <row r="374" spans="1:14" ht="25" customHeight="1">
      <c r="A374" s="2"/>
      <c r="B374" s="2"/>
      <c r="C374" s="16" t="s">
        <v>148</v>
      </c>
      <c r="D374" s="3"/>
      <c r="E374" s="3"/>
      <c r="F374" s="3"/>
      <c r="G374" s="3"/>
      <c r="H374" s="24">
        <f>IF(COUNT(H373)=0,"",SUM(H367,H369,H371,H373))</f>
        <v>1324.1398849999996</v>
      </c>
      <c r="I374" s="24">
        <f>IF(COUNT(I373)=0,"",SUM(I367,I369,I371,I373))</f>
        <v>1411.4898363599998</v>
      </c>
      <c r="J374" s="24">
        <f>IF(COUNT(J373)=0,"",SUM(J367,J369,J371,J373))</f>
        <v>1493.3393493419496</v>
      </c>
      <c r="K374" s="24">
        <f>IF(COUNT(K373)=0,"",SUM(K367,K369,K371,K373))</f>
        <v>1568.1063168090475</v>
      </c>
      <c r="L374" s="24">
        <f>IF(COUNT(L373)=0,"",SUM(L367,L369,L371,L373))</f>
        <v>1643.1637581728687</v>
      </c>
      <c r="M374" s="2"/>
      <c r="N374" s="52"/>
    </row>
    <row r="375" spans="1:14" ht="25" customHeight="1">
      <c r="A375" s="2"/>
      <c r="B375" s="2"/>
      <c r="C375" s="16" t="s">
        <v>150</v>
      </c>
      <c r="D375" s="3"/>
      <c r="E375" s="3"/>
      <c r="F375" s="3"/>
      <c r="G375" s="3"/>
      <c r="H375" s="30">
        <f>'01 Assumptions'!H14</f>
        <v>8</v>
      </c>
      <c r="I375" s="30">
        <f>'01 Assumptions'!I14</f>
        <v>8.5</v>
      </c>
      <c r="J375" s="30">
        <f>'01 Assumptions'!J14</f>
        <v>9</v>
      </c>
      <c r="K375" s="30">
        <f>'01 Assumptions'!K14</f>
        <v>9.5</v>
      </c>
      <c r="L375" s="30">
        <f>'01 Assumptions'!L14</f>
        <v>10</v>
      </c>
      <c r="M375" s="2"/>
      <c r="N375" s="52"/>
    </row>
    <row r="376" spans="1:14" ht="25" customHeight="1">
      <c r="A376" s="2"/>
      <c r="B376" s="2"/>
      <c r="C376" s="16" t="s">
        <v>152</v>
      </c>
      <c r="D376" s="3"/>
      <c r="E376" s="3"/>
      <c r="F376" s="3"/>
      <c r="G376" s="3"/>
      <c r="H376" s="24">
        <f t="shared" ref="H376:L377" si="8">-H342</f>
        <v>0</v>
      </c>
      <c r="I376" s="24">
        <f t="shared" si="8"/>
        <v>0</v>
      </c>
      <c r="J376" s="24">
        <f t="shared" si="8"/>
        <v>0</v>
      </c>
      <c r="K376" s="24">
        <f t="shared" si="8"/>
        <v>0</v>
      </c>
      <c r="L376" s="24">
        <f t="shared" si="8"/>
        <v>0</v>
      </c>
      <c r="M376" s="2"/>
      <c r="N376" s="52"/>
    </row>
    <row r="377" spans="1:14" ht="25" customHeight="1">
      <c r="A377" s="2"/>
      <c r="B377" s="2"/>
      <c r="C377" s="16" t="s">
        <v>154</v>
      </c>
      <c r="D377" s="3"/>
      <c r="E377" s="3"/>
      <c r="F377" s="3"/>
      <c r="G377" s="3"/>
      <c r="H377" s="24">
        <f t="shared" si="8"/>
        <v>0</v>
      </c>
      <c r="I377" s="24">
        <f t="shared" si="8"/>
        <v>0</v>
      </c>
      <c r="J377" s="24">
        <f t="shared" si="8"/>
        <v>0</v>
      </c>
      <c r="K377" s="24">
        <f t="shared" si="8"/>
        <v>0</v>
      </c>
      <c r="L377" s="24">
        <f t="shared" si="8"/>
        <v>0</v>
      </c>
      <c r="M377" s="2"/>
      <c r="N377" s="52"/>
    </row>
    <row r="378" spans="1:14" ht="25" customHeight="1">
      <c r="A378" s="2"/>
      <c r="B378" s="2"/>
      <c r="C378" s="16" t="s">
        <v>156</v>
      </c>
      <c r="D378" s="3"/>
      <c r="E378" s="3"/>
      <c r="F378" s="3"/>
      <c r="G378" s="3"/>
      <c r="H378" s="24">
        <f>IF(COUNT(H375:H377)&lt;3,"",SUM(H374:H377))</f>
        <v>1332.1398849999996</v>
      </c>
      <c r="I378" s="24">
        <f>IF(COUNT(I375:I377)&lt;3,"",SUM(I374:I377))</f>
        <v>1419.9898363599998</v>
      </c>
      <c r="J378" s="24">
        <f>IF(COUNT(J375:J377)&lt;3,"",SUM(J374:J377))</f>
        <v>1502.3393493419496</v>
      </c>
      <c r="K378" s="24">
        <f>IF(COUNT(K375:K377)&lt;3,"",SUM(K374:K377))</f>
        <v>1577.6063168090475</v>
      </c>
      <c r="L378" s="24">
        <f>IF(COUNT(L375:L377)&lt;3,"",SUM(L374:L377))</f>
        <v>1653.1637581728687</v>
      </c>
      <c r="M378" s="2"/>
      <c r="N378" s="52"/>
    </row>
    <row r="379" spans="1:14" ht="25" customHeight="1">
      <c r="A379" s="2"/>
      <c r="B379" s="2"/>
      <c r="C379" s="16" t="s">
        <v>158</v>
      </c>
      <c r="D379" s="3"/>
      <c r="E379" s="3"/>
      <c r="F379" s="3"/>
      <c r="G379" s="3"/>
      <c r="H379" s="24">
        <f>H344</f>
        <v>0</v>
      </c>
      <c r="I379" s="24">
        <f>I344</f>
        <v>0</v>
      </c>
      <c r="J379" s="24">
        <f>J344</f>
        <v>0</v>
      </c>
      <c r="K379" s="24">
        <f>K344</f>
        <v>0</v>
      </c>
      <c r="L379" s="24">
        <f>L344</f>
        <v>0</v>
      </c>
      <c r="M379" s="2"/>
      <c r="N379" s="52"/>
    </row>
    <row r="380" spans="1:14" ht="25" customHeight="1">
      <c r="A380" s="2"/>
      <c r="B380" s="2"/>
      <c r="C380" s="16" t="s">
        <v>160</v>
      </c>
      <c r="D380" s="3"/>
      <c r="E380" s="3"/>
      <c r="F380" s="3"/>
      <c r="G380" s="3"/>
      <c r="H380" s="24">
        <f>H170</f>
        <v>5.3670000000000009</v>
      </c>
      <c r="I380" s="24">
        <f>I170</f>
        <v>5.7318150276757773</v>
      </c>
      <c r="J380" s="24">
        <f>J170</f>
        <v>5.1999999999999993</v>
      </c>
      <c r="K380" s="24">
        <f>K170</f>
        <v>5.2999999999999989</v>
      </c>
      <c r="L380" s="24">
        <f>L170</f>
        <v>5.3999999999999986</v>
      </c>
      <c r="M380" s="2"/>
      <c r="N380" s="52"/>
    </row>
    <row r="381" spans="1:14" ht="25" customHeight="1">
      <c r="A381" s="2"/>
      <c r="B381" s="2"/>
      <c r="C381" s="16" t="s">
        <v>162</v>
      </c>
      <c r="D381" s="3"/>
      <c r="E381" s="3"/>
      <c r="F381" s="3"/>
      <c r="G381" s="3"/>
      <c r="H381" s="24">
        <f>H174</f>
        <v>-89.577866666666665</v>
      </c>
      <c r="I381" s="24">
        <f>I174</f>
        <v>-82.179817000000014</v>
      </c>
      <c r="J381" s="24">
        <f>J174</f>
        <v>-80.485859667</v>
      </c>
      <c r="K381" s="24">
        <f>K174</f>
        <v>-78.562440083350012</v>
      </c>
      <c r="L381" s="24">
        <f>L174</f>
        <v>-76.675562087517505</v>
      </c>
      <c r="M381" s="2"/>
      <c r="N381" s="52"/>
    </row>
    <row r="382" spans="1:14" ht="25" customHeight="1">
      <c r="A382" s="2"/>
      <c r="B382" s="2"/>
      <c r="C382" s="16" t="s">
        <v>37</v>
      </c>
      <c r="D382" s="3"/>
      <c r="E382" s="3"/>
      <c r="F382" s="3"/>
      <c r="G382" s="3"/>
      <c r="H382" s="24">
        <f>IF(COUNT(H379:H381)&lt;3,"",SUM(H378:H381))</f>
        <v>1247.9290183333328</v>
      </c>
      <c r="I382" s="24">
        <f>IF(COUNT(I379:I381)&lt;3,"",SUM(I378:I381))</f>
        <v>1343.5418343876756</v>
      </c>
      <c r="J382" s="24">
        <f>IF(COUNT(J379:J381)&lt;3,"",SUM(J378:J381))</f>
        <v>1427.0534896749496</v>
      </c>
      <c r="K382" s="24">
        <f>IF(COUNT(K379:K381)&lt;3,"",SUM(K378:K381))</f>
        <v>1504.3438767256973</v>
      </c>
      <c r="L382" s="24">
        <f>IF(COUNT(L379:L381)&lt;3,"",SUM(L378:L381))</f>
        <v>1581.8881960853514</v>
      </c>
      <c r="M382" s="2"/>
      <c r="N382" s="52"/>
    </row>
    <row r="383" spans="1:14" ht="25" customHeight="1">
      <c r="A383" s="2"/>
      <c r="B383" s="2"/>
      <c r="C383" s="16" t="s">
        <v>165</v>
      </c>
      <c r="D383" s="3"/>
      <c r="E383" s="3"/>
      <c r="F383" s="3"/>
      <c r="G383" s="3"/>
      <c r="H383" s="30">
        <f>-H382*'01 Assumptions'!H42</f>
        <v>-311.9822545833332</v>
      </c>
      <c r="I383" s="30">
        <f>-I382*'01 Assumptions'!I42</f>
        <v>-335.88545859691891</v>
      </c>
      <c r="J383" s="30">
        <f>-J382*'01 Assumptions'!J42</f>
        <v>-356.76337241873739</v>
      </c>
      <c r="K383" s="30">
        <f>-K382*'01 Assumptions'!K42</f>
        <v>-376.08596918142433</v>
      </c>
      <c r="L383" s="30">
        <f>-L382*'01 Assumptions'!L42</f>
        <v>-395.47204902133785</v>
      </c>
      <c r="M383" s="2"/>
      <c r="N383" s="52"/>
    </row>
    <row r="384" spans="1:14" ht="25" customHeight="1">
      <c r="A384" s="2"/>
      <c r="B384" s="2"/>
      <c r="C384" s="16" t="s">
        <v>167</v>
      </c>
      <c r="D384" s="3"/>
      <c r="E384" s="3"/>
      <c r="F384" s="3"/>
      <c r="G384" s="3"/>
      <c r="H384" s="24">
        <f>IF(COUNT(H383)=0,"",SUM(H382:H383))</f>
        <v>935.9467637499996</v>
      </c>
      <c r="I384" s="24">
        <f>IF(COUNT(I383)=0,"",SUM(I382:I383))</f>
        <v>1007.6563757907568</v>
      </c>
      <c r="J384" s="24">
        <f>IF(COUNT(J383)=0,"",SUM(J382:J383))</f>
        <v>1070.2901172562122</v>
      </c>
      <c r="K384" s="24">
        <f>IF(COUNT(K383)=0,"",SUM(K382:K383))</f>
        <v>1128.2579075442729</v>
      </c>
      <c r="L384" s="24">
        <f>IF(COUNT(L383)=0,"",SUM(L382:L383))</f>
        <v>1186.4161470640136</v>
      </c>
      <c r="M384" s="2"/>
      <c r="N384" s="52"/>
    </row>
    <row r="385" spans="1:14" ht="25" customHeight="1">
      <c r="A385" s="2"/>
      <c r="B385" s="2"/>
      <c r="C385" s="16"/>
      <c r="D385" s="3"/>
      <c r="E385" s="3"/>
      <c r="F385" s="3"/>
      <c r="G385" s="3"/>
      <c r="H385" s="24"/>
      <c r="I385" s="24"/>
      <c r="J385" s="24"/>
      <c r="K385" s="24"/>
      <c r="L385" s="24"/>
      <c r="M385" s="2"/>
      <c r="N385" s="52"/>
    </row>
    <row r="386" spans="1:14" ht="25" customHeight="1">
      <c r="A386" s="2"/>
      <c r="B386" s="2"/>
      <c r="C386" s="16" t="s">
        <v>689</v>
      </c>
      <c r="D386" s="3"/>
      <c r="E386" s="3"/>
      <c r="F386" s="3"/>
      <c r="G386" s="3"/>
      <c r="H386" s="29">
        <v>0</v>
      </c>
      <c r="I386" s="24"/>
      <c r="J386" s="24"/>
      <c r="K386" s="24"/>
      <c r="L386" s="24"/>
      <c r="M386" s="2"/>
      <c r="N386" s="52"/>
    </row>
    <row r="387" spans="1:14" ht="25" customHeight="1">
      <c r="A387" s="2"/>
      <c r="B387" s="2"/>
      <c r="C387" s="16" t="s">
        <v>690</v>
      </c>
      <c r="D387" s="3"/>
      <c r="E387" s="3"/>
      <c r="F387" s="3"/>
      <c r="G387" s="3"/>
      <c r="H387" s="29">
        <v>0</v>
      </c>
      <c r="I387" s="24"/>
      <c r="J387" s="24"/>
      <c r="K387" s="24"/>
      <c r="L387" s="24"/>
      <c r="M387" s="2"/>
      <c r="N387" s="52"/>
    </row>
    <row r="388" spans="1:14" ht="25" customHeight="1">
      <c r="A388" s="2"/>
      <c r="B388" s="2"/>
      <c r="C388" s="16" t="s">
        <v>691</v>
      </c>
      <c r="D388" s="3"/>
      <c r="E388" s="3"/>
      <c r="F388" s="3"/>
      <c r="G388" s="3"/>
      <c r="H388" s="29">
        <v>0</v>
      </c>
      <c r="I388" s="24"/>
      <c r="J388" s="24"/>
      <c r="K388" s="24"/>
      <c r="L388" s="24"/>
      <c r="M388" s="2"/>
      <c r="N388" s="52"/>
    </row>
    <row r="389" spans="1:14" ht="25" customHeight="1">
      <c r="A389" s="2"/>
      <c r="B389" s="2"/>
      <c r="C389" s="16" t="s">
        <v>692</v>
      </c>
      <c r="D389" s="3"/>
      <c r="E389" s="3"/>
      <c r="F389" s="3"/>
      <c r="G389" s="3"/>
      <c r="H389" s="29">
        <v>0</v>
      </c>
      <c r="I389" s="24"/>
      <c r="J389" s="24"/>
      <c r="K389" s="24"/>
      <c r="L389" s="24"/>
      <c r="M389" s="2"/>
      <c r="N389" s="52"/>
    </row>
    <row r="390" spans="1:14" ht="25" customHeight="1">
      <c r="A390" s="2"/>
      <c r="B390" s="2"/>
      <c r="C390" s="16" t="s">
        <v>693</v>
      </c>
      <c r="D390" s="3"/>
      <c r="E390" s="3"/>
      <c r="F390" s="3"/>
      <c r="G390" s="3"/>
      <c r="H390" s="29">
        <v>0</v>
      </c>
      <c r="I390" s="24"/>
      <c r="J390" s="24"/>
      <c r="K390" s="24"/>
      <c r="L390" s="24"/>
      <c r="M390" s="2"/>
      <c r="N390" s="52"/>
    </row>
    <row r="391" spans="1:14" ht="25" customHeight="1">
      <c r="A391" s="2"/>
      <c r="B391" s="2"/>
      <c r="C391" s="16" t="s">
        <v>694</v>
      </c>
      <c r="D391" s="3"/>
      <c r="E391" s="3"/>
      <c r="F391" s="3"/>
      <c r="G391" s="3"/>
      <c r="H391" s="29">
        <v>0</v>
      </c>
      <c r="I391" s="24"/>
      <c r="J391" s="24"/>
      <c r="K391" s="24"/>
      <c r="L391" s="24"/>
      <c r="M391" s="2"/>
      <c r="N391" s="52"/>
    </row>
    <row r="392" spans="1:14" ht="25" customHeight="1">
      <c r="A392" s="2"/>
      <c r="B392" s="2"/>
      <c r="C392" s="16"/>
      <c r="D392" s="3"/>
      <c r="E392" s="3"/>
      <c r="F392" s="3"/>
      <c r="G392" s="3"/>
      <c r="H392" s="24"/>
      <c r="I392" s="24"/>
      <c r="J392" s="24"/>
      <c r="K392" s="24"/>
      <c r="L392" s="24"/>
      <c r="M392" s="2"/>
      <c r="N392" s="52"/>
    </row>
    <row r="393" spans="1:14" ht="25" customHeight="1">
      <c r="A393" s="2"/>
      <c r="B393" s="2"/>
      <c r="C393" s="16"/>
      <c r="D393" s="3"/>
      <c r="E393" s="3"/>
      <c r="F393" s="3"/>
      <c r="G393" s="3"/>
      <c r="H393" s="24"/>
      <c r="I393" s="24"/>
      <c r="J393" s="24"/>
      <c r="K393" s="24"/>
      <c r="L393" s="24"/>
      <c r="M393" s="2"/>
      <c r="N393" s="52"/>
    </row>
    <row r="394" spans="1:14" ht="25" customHeight="1">
      <c r="A394" s="2"/>
      <c r="B394" s="2"/>
      <c r="C394" s="16"/>
      <c r="D394" s="3"/>
      <c r="E394" s="3"/>
      <c r="F394" s="3"/>
      <c r="G394" s="3"/>
      <c r="H394" s="24"/>
      <c r="I394" s="24"/>
      <c r="J394" s="24"/>
      <c r="K394" s="24"/>
      <c r="L394" s="24"/>
      <c r="M394" s="2"/>
      <c r="N394" s="52"/>
    </row>
    <row r="395" spans="1:14" ht="25" customHeight="1">
      <c r="A395" s="2"/>
      <c r="B395" s="2"/>
      <c r="C395" s="16"/>
      <c r="D395" s="3"/>
      <c r="E395" s="3"/>
      <c r="F395" s="3"/>
      <c r="G395" s="3"/>
      <c r="H395" s="24"/>
      <c r="I395" s="24"/>
      <c r="J395" s="24"/>
      <c r="K395" s="24"/>
      <c r="L395" s="24"/>
      <c r="M395" s="2"/>
      <c r="N395" s="52"/>
    </row>
    <row r="396" spans="1:14" ht="25" customHeight="1">
      <c r="A396" s="2"/>
      <c r="B396" s="2"/>
      <c r="C396" s="16"/>
      <c r="D396" s="3"/>
      <c r="E396" s="3"/>
      <c r="F396" s="3"/>
      <c r="G396" s="3"/>
      <c r="H396" s="24"/>
      <c r="I396" s="24"/>
      <c r="J396" s="24"/>
      <c r="K396" s="24"/>
      <c r="L396" s="24"/>
      <c r="M396" s="2"/>
      <c r="N396" s="52"/>
    </row>
    <row r="397" spans="1:14" ht="25" customHeight="1">
      <c r="A397" s="2"/>
      <c r="B397" s="2"/>
      <c r="C397" s="16"/>
      <c r="D397" s="3"/>
      <c r="E397" s="3"/>
      <c r="F397" s="3"/>
      <c r="G397" s="3"/>
      <c r="H397" s="24"/>
      <c r="I397" s="24"/>
      <c r="J397" s="24"/>
      <c r="K397" s="24"/>
      <c r="L397" s="24"/>
      <c r="M397" s="2"/>
      <c r="N397" s="52"/>
    </row>
    <row r="398" spans="1:14" ht="25" customHeight="1">
      <c r="A398" s="2"/>
      <c r="B398" s="2"/>
      <c r="C398" s="16"/>
      <c r="D398" s="3"/>
      <c r="E398" s="3"/>
      <c r="F398" s="3"/>
      <c r="G398" s="3"/>
      <c r="H398" s="24"/>
      <c r="I398" s="24"/>
      <c r="J398" s="24"/>
      <c r="K398" s="24"/>
      <c r="L398" s="24"/>
      <c r="M398" s="2"/>
      <c r="N398" s="52"/>
    </row>
    <row r="399" spans="1:14" ht="25" customHeight="1">
      <c r="A399" s="2"/>
      <c r="B399" s="2"/>
      <c r="C399" s="16"/>
      <c r="D399" s="3"/>
      <c r="E399" s="3"/>
      <c r="F399" s="3"/>
      <c r="G399" s="3"/>
      <c r="H399" s="24"/>
      <c r="I399" s="24"/>
      <c r="J399" s="24"/>
      <c r="K399" s="24"/>
      <c r="L399" s="24"/>
      <c r="M399" s="2"/>
      <c r="N399" s="52"/>
    </row>
    <row r="400" spans="1:14" ht="25" customHeight="1">
      <c r="A400" s="2"/>
      <c r="B400" s="2"/>
      <c r="C400" s="16"/>
      <c r="D400" s="3"/>
      <c r="E400" s="3"/>
      <c r="F400" s="3"/>
      <c r="G400" s="3"/>
      <c r="H400" s="24"/>
      <c r="I400" s="24"/>
      <c r="J400" s="24"/>
      <c r="K400" s="24"/>
      <c r="L400" s="24"/>
      <c r="M400" s="2"/>
      <c r="N400" s="52"/>
    </row>
    <row r="401" spans="1:14" ht="25" customHeight="1">
      <c r="A401" s="2"/>
      <c r="B401" s="2"/>
      <c r="C401" s="16"/>
      <c r="D401" s="3"/>
      <c r="E401" s="3"/>
      <c r="F401" s="3"/>
      <c r="G401" s="3"/>
      <c r="H401" s="24"/>
      <c r="I401" s="24"/>
      <c r="J401" s="24"/>
      <c r="K401" s="24"/>
      <c r="L401" s="24"/>
      <c r="M401" s="2"/>
      <c r="N401" s="52"/>
    </row>
    <row r="402" spans="1:14" ht="25" customHeight="1">
      <c r="A402" s="2"/>
      <c r="B402" s="2"/>
      <c r="C402" s="16"/>
      <c r="D402" s="3"/>
      <c r="E402" s="3"/>
      <c r="F402" s="3"/>
      <c r="G402" s="3"/>
      <c r="H402" s="24"/>
      <c r="I402" s="24"/>
      <c r="J402" s="24"/>
      <c r="K402" s="24"/>
      <c r="L402" s="24"/>
      <c r="M402" s="2"/>
      <c r="N402" s="52"/>
    </row>
    <row r="403" spans="1:14" ht="25" customHeight="1">
      <c r="A403" s="2"/>
      <c r="B403" s="2"/>
      <c r="C403" s="16"/>
      <c r="D403" s="3"/>
      <c r="E403" s="3"/>
      <c r="F403" s="3"/>
      <c r="G403" s="3"/>
      <c r="H403" s="24"/>
      <c r="I403" s="24"/>
      <c r="J403" s="24"/>
      <c r="K403" s="24"/>
      <c r="L403" s="24"/>
      <c r="M403" s="2"/>
      <c r="N403" s="52"/>
    </row>
    <row r="404" spans="1:14" ht="25" customHeight="1">
      <c r="A404" s="2"/>
      <c r="B404" s="2"/>
      <c r="C404" s="16"/>
      <c r="D404" s="3"/>
      <c r="E404" s="3"/>
      <c r="F404" s="3"/>
      <c r="G404" s="3"/>
      <c r="H404" s="24"/>
      <c r="I404" s="24"/>
      <c r="J404" s="24"/>
      <c r="K404" s="24"/>
      <c r="L404" s="24"/>
      <c r="M404" s="2"/>
      <c r="N404" s="52"/>
    </row>
    <row r="405" spans="1:14" ht="25" customHeight="1">
      <c r="A405" s="2"/>
      <c r="B405" s="2"/>
      <c r="C405" s="16"/>
      <c r="D405" s="3"/>
      <c r="E405" s="3"/>
      <c r="F405" s="3"/>
      <c r="G405" s="3"/>
      <c r="H405" s="24"/>
      <c r="I405" s="24"/>
      <c r="J405" s="24"/>
      <c r="K405" s="24"/>
      <c r="L405" s="24"/>
      <c r="M405" s="2"/>
      <c r="N405" s="52"/>
    </row>
    <row r="406" spans="1:14" ht="25" customHeight="1">
      <c r="A406" s="2"/>
      <c r="B406" s="2"/>
      <c r="C406" s="16"/>
      <c r="D406" s="3"/>
      <c r="E406" s="3"/>
      <c r="F406" s="3"/>
      <c r="G406" s="3"/>
      <c r="H406" s="24"/>
      <c r="I406" s="24"/>
      <c r="J406" s="24"/>
      <c r="K406" s="24"/>
      <c r="L406" s="24"/>
      <c r="M406" s="2"/>
      <c r="N406" s="52"/>
    </row>
    <row r="407" spans="1:14" ht="25" customHeight="1">
      <c r="A407" s="2"/>
      <c r="B407" s="2"/>
      <c r="C407" s="16"/>
      <c r="D407" s="3"/>
      <c r="E407" s="3"/>
      <c r="F407" s="3"/>
      <c r="G407" s="3"/>
      <c r="H407" s="24"/>
      <c r="I407" s="24"/>
      <c r="J407" s="24"/>
      <c r="K407" s="24"/>
      <c r="L407" s="24"/>
      <c r="M407" s="2"/>
      <c r="N407" s="52"/>
    </row>
    <row r="408" spans="1:14" ht="25" customHeight="1">
      <c r="A408" s="2"/>
      <c r="B408" s="2"/>
      <c r="C408" s="16"/>
      <c r="D408" s="3"/>
      <c r="E408" s="3"/>
      <c r="F408" s="3"/>
      <c r="G408" s="3"/>
      <c r="H408" s="24"/>
      <c r="I408" s="24"/>
      <c r="J408" s="24"/>
      <c r="K408" s="24"/>
      <c r="L408" s="24"/>
      <c r="M408" s="2"/>
      <c r="N408" s="52"/>
    </row>
    <row r="409" spans="1:14" ht="25" customHeight="1">
      <c r="A409" s="2"/>
      <c r="B409" s="2"/>
      <c r="C409" s="16"/>
      <c r="D409" s="3"/>
      <c r="E409" s="3"/>
      <c r="F409" s="3"/>
      <c r="G409" s="3"/>
      <c r="H409" s="24"/>
      <c r="I409" s="24"/>
      <c r="J409" s="24"/>
      <c r="K409" s="24"/>
      <c r="L409" s="24"/>
      <c r="M409" s="2"/>
      <c r="N409" s="52"/>
    </row>
    <row r="410" spans="1:14" ht="25" customHeight="1">
      <c r="A410" s="2"/>
      <c r="B410" s="2"/>
      <c r="C410" s="16"/>
      <c r="D410" s="3"/>
      <c r="E410" s="3"/>
      <c r="F410" s="3"/>
      <c r="G410" s="3"/>
      <c r="H410" s="24"/>
      <c r="I410" s="24"/>
      <c r="J410" s="24"/>
      <c r="K410" s="24"/>
      <c r="L410" s="24"/>
      <c r="M410" s="2"/>
      <c r="N410" s="52"/>
    </row>
    <row r="411" spans="1:14" ht="25" customHeight="1">
      <c r="A411" s="2"/>
      <c r="B411" s="2"/>
      <c r="C411" s="16" t="s">
        <v>695</v>
      </c>
      <c r="D411" s="3"/>
      <c r="E411" s="3"/>
      <c r="F411" s="3"/>
      <c r="G411" s="28">
        <v>1280.9000000000001</v>
      </c>
      <c r="H411" s="24"/>
      <c r="I411" s="24"/>
      <c r="J411" s="24"/>
      <c r="K411" s="24"/>
      <c r="L411" s="24"/>
      <c r="M411" s="2"/>
      <c r="N411" s="52"/>
    </row>
    <row r="412" spans="1:14" ht="25" customHeight="1">
      <c r="A412" s="2"/>
      <c r="B412" s="2"/>
      <c r="C412" s="16"/>
      <c r="D412" s="3"/>
      <c r="E412" s="3"/>
      <c r="F412" s="3"/>
      <c r="G412" s="3"/>
      <c r="H412" s="24"/>
      <c r="I412" s="24"/>
      <c r="J412" s="24"/>
      <c r="K412" s="24"/>
      <c r="L412" s="24"/>
      <c r="M412" s="2"/>
      <c r="N412" s="52"/>
    </row>
    <row r="413" spans="1:14" ht="25" customHeight="1">
      <c r="A413" s="2"/>
      <c r="B413" s="2"/>
      <c r="C413" s="41" t="s">
        <v>696</v>
      </c>
      <c r="D413" s="7"/>
      <c r="E413" s="7"/>
      <c r="F413" s="7"/>
      <c r="G413" s="7"/>
      <c r="H413" s="23"/>
      <c r="I413" s="23"/>
      <c r="J413" s="23"/>
      <c r="K413" s="23"/>
      <c r="L413" s="23"/>
      <c r="M413" s="2"/>
      <c r="N413" s="52"/>
    </row>
    <row r="414" spans="1:14" ht="25" customHeight="1">
      <c r="A414" s="2"/>
      <c r="B414" s="2"/>
      <c r="C414" s="16" t="s">
        <v>697</v>
      </c>
      <c r="D414" s="3"/>
      <c r="E414" s="3"/>
      <c r="F414" s="3"/>
      <c r="G414" s="3"/>
      <c r="H414" s="24"/>
      <c r="I414" s="30">
        <f>'02 Model'!I91</f>
        <v>0</v>
      </c>
      <c r="J414" s="30">
        <f>'02 Model'!J91</f>
        <v>0</v>
      </c>
      <c r="K414" s="30">
        <f>'02 Model'!K91</f>
        <v>0</v>
      </c>
      <c r="L414" s="30">
        <f>'02 Model'!L91</f>
        <v>0</v>
      </c>
      <c r="M414" s="2"/>
      <c r="N414" s="52"/>
    </row>
    <row r="415" spans="1:14" ht="25" customHeight="1">
      <c r="A415" s="2"/>
      <c r="B415" s="2"/>
      <c r="C415" s="16" t="s">
        <v>698</v>
      </c>
      <c r="D415" s="3"/>
      <c r="E415" s="3"/>
      <c r="F415" s="3"/>
      <c r="G415" s="3"/>
      <c r="H415" s="24"/>
      <c r="I415" s="30">
        <f>'02 Model'!I51-'02 Model'!I137-I152</f>
        <v>0</v>
      </c>
      <c r="J415" s="30">
        <f>'02 Model'!J51-'02 Model'!J137-J152</f>
        <v>0</v>
      </c>
      <c r="K415" s="30">
        <f>'02 Model'!K51-'02 Model'!K137-K152</f>
        <v>0</v>
      </c>
      <c r="L415" s="30">
        <f>'02 Model'!L51-'02 Model'!L137-L152</f>
        <v>0</v>
      </c>
      <c r="M415" s="2"/>
      <c r="N415" s="52"/>
    </row>
    <row r="416" spans="1:14" ht="25" customHeight="1">
      <c r="A416" s="2"/>
      <c r="B416" s="2"/>
      <c r="C416" s="16" t="s">
        <v>699</v>
      </c>
      <c r="D416" s="3"/>
      <c r="E416" s="3"/>
      <c r="F416" s="3"/>
      <c r="G416" s="3"/>
      <c r="H416" s="24"/>
      <c r="I416" s="24">
        <f>I159-I187</f>
        <v>0</v>
      </c>
      <c r="J416" s="24">
        <f>J159-J187</f>
        <v>0</v>
      </c>
      <c r="K416" s="24">
        <f>K159-K187</f>
        <v>0</v>
      </c>
      <c r="L416" s="24">
        <f>L159-L187</f>
        <v>0</v>
      </c>
      <c r="M416" s="2"/>
      <c r="N416" s="52"/>
    </row>
    <row r="417" spans="1:14" ht="25" customHeight="1">
      <c r="A417" s="2"/>
      <c r="B417" s="2"/>
      <c r="C417" s="16" t="s">
        <v>700</v>
      </c>
      <c r="D417" s="3"/>
      <c r="E417" s="3"/>
      <c r="F417" s="3"/>
      <c r="G417" s="3"/>
      <c r="H417" s="24"/>
      <c r="I417" s="24">
        <f>I90</f>
        <v>0</v>
      </c>
      <c r="J417" s="24">
        <f>J90</f>
        <v>0</v>
      </c>
      <c r="K417" s="24">
        <f>K90</f>
        <v>0</v>
      </c>
      <c r="L417" s="24">
        <f>L90</f>
        <v>0</v>
      </c>
      <c r="M417" s="2"/>
      <c r="N417" s="52"/>
    </row>
    <row r="418" spans="1:14" ht="25" customHeight="1">
      <c r="A418" s="2"/>
      <c r="B418" s="2"/>
      <c r="C418" s="16" t="s">
        <v>701</v>
      </c>
      <c r="D418" s="3"/>
      <c r="E418" s="3"/>
      <c r="F418" s="3"/>
      <c r="G418" s="3"/>
      <c r="H418" s="24"/>
      <c r="I418" s="30">
        <f>'02 Model'!I37-I23</f>
        <v>0</v>
      </c>
      <c r="J418" s="30">
        <f>'02 Model'!J37-J23</f>
        <v>0</v>
      </c>
      <c r="K418" s="30">
        <f>'02 Model'!K37-K23</f>
        <v>0</v>
      </c>
      <c r="L418" s="30">
        <f>'02 Model'!L37-L23</f>
        <v>0</v>
      </c>
      <c r="M418" s="2"/>
      <c r="N418" s="52"/>
    </row>
    <row r="419" spans="1:14" ht="25" customHeight="1">
      <c r="A419" s="2"/>
      <c r="B419" s="2"/>
      <c r="C419" s="16" t="s">
        <v>702</v>
      </c>
      <c r="D419" s="3"/>
      <c r="E419" s="3"/>
      <c r="F419" s="3"/>
      <c r="G419" s="3"/>
      <c r="H419" s="24"/>
      <c r="I419" s="30">
        <f>'02 Model'!I38-I44</f>
        <v>0</v>
      </c>
      <c r="J419" s="30">
        <f>'02 Model'!J38-J44</f>
        <v>0</v>
      </c>
      <c r="K419" s="30">
        <f>'02 Model'!K38-K44</f>
        <v>0</v>
      </c>
      <c r="L419" s="30">
        <f>'02 Model'!L38-L44</f>
        <v>0</v>
      </c>
      <c r="M419" s="2"/>
      <c r="N419" s="52"/>
    </row>
    <row r="420" spans="1:14" ht="25" customHeight="1">
      <c r="A420" s="2"/>
      <c r="B420" s="2"/>
      <c r="C420" s="16" t="s">
        <v>703</v>
      </c>
      <c r="D420" s="3"/>
      <c r="E420" s="3"/>
      <c r="F420" s="3"/>
      <c r="G420" s="3"/>
      <c r="H420" s="24"/>
      <c r="I420" s="30">
        <f>'02 Model'!I39-I74</f>
        <v>0</v>
      </c>
      <c r="J420" s="30">
        <f>'02 Model'!J39-J74</f>
        <v>0</v>
      </c>
      <c r="K420" s="30">
        <f>'02 Model'!K39-K74</f>
        <v>0</v>
      </c>
      <c r="L420" s="30">
        <f>'02 Model'!L39-L74</f>
        <v>0</v>
      </c>
      <c r="M420" s="2"/>
      <c r="N420" s="52"/>
    </row>
    <row r="421" spans="1:14" ht="25" customHeight="1">
      <c r="A421" s="2"/>
      <c r="B421" s="2"/>
      <c r="C421" s="16" t="s">
        <v>704</v>
      </c>
      <c r="D421" s="3"/>
      <c r="E421" s="3"/>
      <c r="F421" s="3"/>
      <c r="G421" s="3"/>
      <c r="H421" s="24"/>
      <c r="I421" s="30">
        <f>'02 Model'!I47-I118</f>
        <v>0</v>
      </c>
      <c r="J421" s="30">
        <f>'02 Model'!J47-J118</f>
        <v>0</v>
      </c>
      <c r="K421" s="30">
        <f>'02 Model'!K47-K118</f>
        <v>0</v>
      </c>
      <c r="L421" s="30">
        <f>'02 Model'!L47-L118</f>
        <v>0</v>
      </c>
      <c r="M421" s="2"/>
      <c r="N421" s="52"/>
    </row>
    <row r="422" spans="1:14" ht="25" customHeight="1">
      <c r="A422" s="2"/>
      <c r="B422" s="2"/>
      <c r="C422" s="16" t="s">
        <v>705</v>
      </c>
      <c r="D422" s="3"/>
      <c r="E422" s="3"/>
      <c r="F422" s="3"/>
      <c r="G422" s="3"/>
      <c r="H422" s="24"/>
      <c r="I422" s="30">
        <f>-'02 Model'!I59-I130</f>
        <v>0</v>
      </c>
      <c r="J422" s="30">
        <f>-'02 Model'!J59-J130</f>
        <v>0</v>
      </c>
      <c r="K422" s="30">
        <f>-'02 Model'!K59-K130</f>
        <v>0</v>
      </c>
      <c r="L422" s="30">
        <f>-'02 Model'!L59-L130</f>
        <v>0</v>
      </c>
      <c r="M422" s="2"/>
      <c r="N422" s="52"/>
    </row>
    <row r="423" spans="1:14" ht="25" customHeight="1">
      <c r="A423" s="2"/>
      <c r="B423" s="2"/>
      <c r="C423" s="16" t="s">
        <v>706</v>
      </c>
      <c r="D423" s="3"/>
      <c r="E423" s="3"/>
      <c r="F423" s="3"/>
      <c r="G423" s="3"/>
      <c r="H423" s="24"/>
      <c r="I423" s="30">
        <f>'02 Model'!I86-I253</f>
        <v>0</v>
      </c>
      <c r="J423" s="30">
        <f>'02 Model'!J86-J253</f>
        <v>0</v>
      </c>
      <c r="K423" s="30">
        <f>'02 Model'!K86-K253</f>
        <v>0</v>
      </c>
      <c r="L423" s="30">
        <f>'02 Model'!L86-L253</f>
        <v>0</v>
      </c>
      <c r="M423" s="2"/>
      <c r="N423" s="52"/>
    </row>
    <row r="424" spans="1:14" ht="25" customHeight="1">
      <c r="A424" s="2"/>
      <c r="B424" s="2"/>
      <c r="C424" s="16" t="s">
        <v>707</v>
      </c>
      <c r="D424" s="3"/>
      <c r="E424" s="3"/>
      <c r="F424" s="3"/>
      <c r="G424" s="3"/>
      <c r="H424" s="24"/>
      <c r="I424" s="30">
        <f>I271-(H271+(I384-I242)+'02 Model'!I130)</f>
        <v>0</v>
      </c>
      <c r="J424" s="30">
        <f>J271-(I271+(J384-J242)+'02 Model'!J130)</f>
        <v>0</v>
      </c>
      <c r="K424" s="30">
        <f>K271-(J271+(K384-K242)+'02 Model'!K130)</f>
        <v>0</v>
      </c>
      <c r="L424" s="30">
        <f>L271-(K271+(L384-L242)+'02 Model'!L130)</f>
        <v>0</v>
      </c>
      <c r="M424" s="2"/>
      <c r="N424" s="52"/>
    </row>
    <row r="425" spans="1:14" ht="25" customHeight="1">
      <c r="A425" s="2"/>
      <c r="B425" s="2"/>
      <c r="C425" s="16" t="s">
        <v>708</v>
      </c>
      <c r="D425" s="3"/>
      <c r="E425" s="3"/>
      <c r="F425" s="3"/>
      <c r="G425" s="3"/>
      <c r="H425" s="24"/>
      <c r="I425" s="30">
        <f>-'02 Model'!I102-'02 Model'!I106-I12-'01 Assumptions'!I25</f>
        <v>0</v>
      </c>
      <c r="J425" s="30">
        <f>-'02 Model'!J102-'02 Model'!J106-J12-'01 Assumptions'!J25</f>
        <v>0</v>
      </c>
      <c r="K425" s="30">
        <f>-'02 Model'!K102-'02 Model'!K106-K12-'01 Assumptions'!K25</f>
        <v>0</v>
      </c>
      <c r="L425" s="30">
        <f>-'02 Model'!L102-'02 Model'!L106-L12-'01 Assumptions'!L25</f>
        <v>0</v>
      </c>
      <c r="M425" s="2"/>
      <c r="N425" s="52"/>
    </row>
    <row r="426" spans="1:14" ht="25" customHeight="1">
      <c r="A426" s="2"/>
      <c r="B426" s="2"/>
      <c r="C426" s="16" t="s">
        <v>709</v>
      </c>
      <c r="D426" s="3"/>
      <c r="E426" s="3"/>
      <c r="F426" s="3"/>
      <c r="G426" s="3"/>
      <c r="H426" s="24"/>
      <c r="I426" s="24">
        <f>I323</f>
        <v>0</v>
      </c>
      <c r="J426" s="24">
        <f>J323</f>
        <v>0</v>
      </c>
      <c r="K426" s="24">
        <f>K323</f>
        <v>0</v>
      </c>
      <c r="L426" s="24">
        <f>L323</f>
        <v>0</v>
      </c>
      <c r="M426" s="2"/>
      <c r="N426" s="52"/>
    </row>
    <row r="427" spans="1:14" ht="25" customHeight="1">
      <c r="A427" s="2"/>
      <c r="B427" s="2"/>
      <c r="C427" s="16"/>
      <c r="D427" s="3"/>
      <c r="E427" s="3"/>
      <c r="F427" s="3"/>
      <c r="G427" s="3"/>
      <c r="H427" s="24"/>
      <c r="I427" s="24"/>
      <c r="J427" s="24"/>
      <c r="K427" s="24"/>
      <c r="L427" s="24"/>
      <c r="M427" s="2"/>
      <c r="N427" s="52"/>
    </row>
    <row r="428" spans="1:14" ht="25" customHeight="1">
      <c r="A428" s="2"/>
      <c r="B428" s="2"/>
      <c r="C428" s="16"/>
      <c r="D428" s="3"/>
      <c r="E428" s="3"/>
      <c r="F428" s="3"/>
      <c r="G428" s="3"/>
      <c r="H428" s="24"/>
      <c r="I428" s="24"/>
      <c r="J428" s="24"/>
      <c r="K428" s="24"/>
      <c r="L428" s="24"/>
      <c r="M428" s="2"/>
      <c r="N428" s="52"/>
    </row>
    <row r="429" spans="1:14" ht="25" customHeight="1">
      <c r="A429" s="2"/>
      <c r="B429" s="2"/>
      <c r="C429" s="16" t="s">
        <v>710</v>
      </c>
      <c r="D429" s="28">
        <v>365</v>
      </c>
      <c r="E429" s="28">
        <v>365</v>
      </c>
      <c r="F429" s="28">
        <v>365</v>
      </c>
      <c r="G429" s="28">
        <v>365</v>
      </c>
      <c r="H429" s="29">
        <v>365</v>
      </c>
      <c r="I429" s="29">
        <v>365</v>
      </c>
      <c r="J429" s="29">
        <v>365</v>
      </c>
      <c r="K429" s="29">
        <v>365</v>
      </c>
      <c r="L429" s="29">
        <v>365</v>
      </c>
      <c r="M429" s="2"/>
      <c r="N429" s="52"/>
    </row>
    <row r="430" spans="1:14" ht="25" customHeight="1">
      <c r="A430" s="2"/>
      <c r="B430" s="2"/>
      <c r="C430" s="16" t="s">
        <v>711</v>
      </c>
      <c r="D430" s="3"/>
      <c r="E430" s="3"/>
      <c r="F430" s="3"/>
      <c r="G430" s="3"/>
      <c r="H430" s="29">
        <v>0.1</v>
      </c>
      <c r="I430" s="29">
        <v>0.1</v>
      </c>
      <c r="J430" s="29">
        <v>0.1</v>
      </c>
      <c r="K430" s="29">
        <v>0.1</v>
      </c>
      <c r="L430" s="29">
        <v>0.1</v>
      </c>
      <c r="M430" s="2"/>
      <c r="N430" s="52"/>
    </row>
    <row r="431" spans="1:14" ht="25" customHeight="1">
      <c r="A431" s="2"/>
      <c r="B431" s="2"/>
      <c r="C431" s="16"/>
      <c r="D431" s="3"/>
      <c r="E431" s="3"/>
      <c r="F431" s="3"/>
      <c r="G431" s="3"/>
      <c r="H431" s="24"/>
      <c r="I431" s="24"/>
      <c r="J431" s="24"/>
      <c r="K431" s="24"/>
      <c r="L431" s="24"/>
      <c r="M431" s="2"/>
      <c r="N431" s="52"/>
    </row>
    <row r="432" spans="1:14" ht="25" customHeight="1">
      <c r="A432" s="2"/>
      <c r="B432" s="2"/>
      <c r="C432" s="16" t="s">
        <v>712</v>
      </c>
      <c r="D432" s="3"/>
      <c r="E432" s="3"/>
      <c r="F432" s="3"/>
      <c r="G432" s="3"/>
      <c r="H432" s="29">
        <v>0</v>
      </c>
      <c r="I432" s="24"/>
      <c r="J432" s="24"/>
      <c r="K432" s="24"/>
      <c r="L432" s="24"/>
      <c r="M432" s="2"/>
      <c r="N432" s="52"/>
    </row>
    <row r="433" spans="1:14" ht="25" customHeight="1">
      <c r="A433" s="2"/>
      <c r="B433" s="2"/>
      <c r="C433" s="16" t="s">
        <v>713</v>
      </c>
      <c r="D433" s="3"/>
      <c r="E433" s="3"/>
      <c r="F433" s="3"/>
      <c r="G433" s="3"/>
      <c r="H433" s="29">
        <v>0</v>
      </c>
      <c r="I433" s="24"/>
      <c r="J433" s="24"/>
      <c r="K433" s="24"/>
      <c r="L433" s="24"/>
      <c r="M433" s="2"/>
      <c r="N433" s="52"/>
    </row>
    <row r="434" spans="1:14" ht="25" customHeight="1">
      <c r="A434" s="2"/>
      <c r="B434" s="2"/>
      <c r="C434" s="16" t="s">
        <v>714</v>
      </c>
      <c r="D434" s="3"/>
      <c r="E434" s="3"/>
      <c r="F434" s="3"/>
      <c r="G434" s="3"/>
      <c r="H434" s="29">
        <v>0</v>
      </c>
      <c r="I434" s="24"/>
      <c r="J434" s="24"/>
      <c r="K434" s="24"/>
      <c r="L434" s="24"/>
      <c r="M434" s="2"/>
      <c r="N434" s="52"/>
    </row>
    <row r="435" spans="1:14" ht="25" customHeight="1">
      <c r="A435" s="2"/>
      <c r="B435" s="2"/>
      <c r="C435" s="16"/>
      <c r="D435" s="3"/>
      <c r="E435" s="3"/>
      <c r="F435" s="3"/>
      <c r="G435" s="3"/>
      <c r="H435" s="24"/>
      <c r="I435" s="24"/>
      <c r="J435" s="24"/>
      <c r="K435" s="24"/>
      <c r="L435" s="24"/>
      <c r="M435" s="2"/>
      <c r="N435" s="52"/>
    </row>
    <row r="436" spans="1:14" ht="25" customHeight="1">
      <c r="A436" s="2"/>
      <c r="B436" s="2"/>
      <c r="C436" s="16"/>
      <c r="D436" s="3"/>
      <c r="E436" s="3"/>
      <c r="F436" s="3"/>
      <c r="G436" s="3"/>
      <c r="H436" s="3"/>
      <c r="I436" s="3"/>
      <c r="J436" s="3"/>
      <c r="K436" s="3"/>
      <c r="L436" s="3"/>
      <c r="M436" s="2"/>
      <c r="N436" s="52"/>
    </row>
    <row r="437" spans="1:14" ht="25" customHeight="1">
      <c r="A437" s="2"/>
      <c r="B437" s="2"/>
      <c r="C437" s="16"/>
      <c r="D437" s="3"/>
      <c r="E437" s="3"/>
      <c r="F437" s="3"/>
      <c r="G437" s="3"/>
      <c r="H437" s="3"/>
      <c r="I437" s="3"/>
      <c r="J437" s="3"/>
      <c r="K437" s="3"/>
      <c r="L437" s="3"/>
      <c r="M437" s="2"/>
      <c r="N437" s="52"/>
    </row>
  </sheetData>
  <mergeCells count="4">
    <mergeCell ref="C279:L279"/>
    <mergeCell ref="C287:L287"/>
    <mergeCell ref="C295:L295"/>
    <mergeCell ref="C139:L139"/>
  </mergeCells>
  <hyperlinks>
    <hyperlink ref="C4" location="'00 Cover'!C2" display="Return to Cover" xr:uid="{00000000-0004-0000-0300-000000000000}"/>
    <hyperlink ref="N9" location="'03 Schedules'!C28" display="Next section" xr:uid="{00000000-0004-0000-0300-000001000000}"/>
    <hyperlink ref="N28" location="'03 Schedules'!C55" display="Next section" xr:uid="{00000000-0004-0000-0300-000002000000}"/>
    <hyperlink ref="N55" location="'03 Schedules'!C95" display="Next section" xr:uid="{00000000-0004-0000-0300-000003000000}"/>
    <hyperlink ref="N95" location="'03 Schedules'!C141" display="Next section" xr:uid="{00000000-0004-0000-0300-000004000000}"/>
    <hyperlink ref="N141" location="'03 Schedules'!C203" display="Next section" xr:uid="{00000000-0004-0000-0300-000005000000}"/>
    <hyperlink ref="N203" location="'03 Schedules'!C300" display="Next section" xr:uid="{00000000-0004-0000-0300-000006000000}"/>
    <hyperlink ref="N300" location="'03 Schedules'!C336" display="Next section" xr:uid="{00000000-0004-0000-0300-000007000000}"/>
    <hyperlink ref="N336" location="'03 Schedules'!C9" display="Next section" xr:uid="{00000000-0004-0000-0300-000008000000}"/>
  </hyperlinks>
  <printOptions horizontalCentered="1"/>
  <pageMargins left="0.25" right="0.25" top="0.35" bottom="0.35" header="0.15" footer="0.15"/>
  <pageSetup paperSize="8" fitToHeight="0" orientation="landscape"/>
  <headerFooter>
    <oddFooter>&amp;LObinna Okey-Udeji | NEXT plc&amp;CInformation through 5 Aug 2026&amp;RPage &amp;P of &amp;N</oddFooter>
  </headerFooter>
  <rowBreaks count="7" manualBreakCount="7">
    <brk id="27" max="16383" man="1"/>
    <brk id="54" max="16383" man="1"/>
    <brk id="94" max="16383" man="1"/>
    <brk id="140" max="16383" man="1"/>
    <brk id="202" max="16383" man="1"/>
    <brk id="299" max="16383" man="1"/>
    <brk id="335" max="16383" man="1"/>
  </rowBreaks>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AC6CF"/>
    <pageSetUpPr fitToPage="1"/>
  </sheetPr>
  <dimension ref="A1:N718"/>
  <sheetViews>
    <sheetView showGridLines="0" topLeftCell="C1" zoomScale="80" zoomScaleNormal="100" workbookViewId="0">
      <pane xSplit="3" ySplit="9" topLeftCell="F128" activePane="bottomRight" state="frozen"/>
      <selection pane="topRight" activeCell="C1" sqref="C1"/>
      <selection pane="bottomLeft" activeCell="C1" sqref="C1"/>
      <selection pane="bottomRight" activeCell="C207" sqref="C207"/>
    </sheetView>
  </sheetViews>
  <sheetFormatPr baseColWidth="10" defaultColWidth="8.83203125" defaultRowHeight="14"/>
  <cols>
    <col min="1" max="2" width="2" customWidth="1"/>
    <col min="3" max="3" width="38" customWidth="1"/>
    <col min="4" max="8" width="16" customWidth="1"/>
    <col min="9" max="9" width="24" customWidth="1"/>
    <col min="10" max="10" width="52" customWidth="1"/>
    <col min="11" max="12" width="13" customWidth="1"/>
    <col min="13" max="13" width="3" customWidth="1"/>
    <col min="14" max="14" width="24" customWidth="1"/>
  </cols>
  <sheetData>
    <row r="1" spans="1:14" ht="20" customHeight="1">
      <c r="A1" s="2"/>
      <c r="B1" s="2"/>
      <c r="C1" s="2"/>
      <c r="D1" s="3"/>
      <c r="E1" s="3"/>
      <c r="F1" s="3"/>
      <c r="G1" s="3"/>
      <c r="H1" s="3"/>
      <c r="I1" s="3"/>
      <c r="J1" s="3"/>
      <c r="K1" s="3"/>
      <c r="L1" s="3"/>
      <c r="M1" s="2"/>
      <c r="N1" s="2"/>
    </row>
    <row r="2" spans="1:14" ht="20" customHeight="1">
      <c r="A2" s="2"/>
      <c r="B2" s="2"/>
      <c r="C2" s="4" t="s">
        <v>715</v>
      </c>
      <c r="D2" s="5"/>
      <c r="E2" s="5"/>
      <c r="F2" s="5"/>
      <c r="G2" s="5"/>
      <c r="H2" s="5"/>
      <c r="I2" s="5"/>
      <c r="J2" s="5"/>
      <c r="K2" s="5"/>
      <c r="L2" s="5"/>
      <c r="M2" s="2"/>
      <c r="N2" s="2"/>
    </row>
    <row r="3" spans="1:14" ht="20" customHeight="1">
      <c r="A3" s="2"/>
      <c r="B3" s="2"/>
      <c r="C3" s="2"/>
      <c r="D3" s="3"/>
      <c r="E3" s="3"/>
      <c r="F3" s="3"/>
      <c r="G3" s="3"/>
      <c r="H3" s="3"/>
      <c r="I3" s="3"/>
      <c r="J3" s="3"/>
      <c r="K3" s="3"/>
      <c r="L3" s="3"/>
      <c r="M3" s="2"/>
      <c r="N3" s="2"/>
    </row>
    <row r="4" spans="1:14" ht="20" customHeight="1">
      <c r="A4" s="2"/>
      <c r="B4" s="2"/>
      <c r="C4" s="10" t="s">
        <v>51</v>
      </c>
      <c r="D4" s="3"/>
      <c r="E4" s="3"/>
      <c r="F4" s="3"/>
      <c r="G4" s="3"/>
      <c r="H4" s="3"/>
      <c r="I4" s="3"/>
      <c r="J4" s="3"/>
      <c r="K4" s="3"/>
      <c r="L4" s="3"/>
      <c r="M4" s="2"/>
      <c r="N4" s="2"/>
    </row>
    <row r="5" spans="1:14" ht="20" customHeight="1">
      <c r="A5" s="2"/>
      <c r="B5" s="2"/>
      <c r="C5" s="2"/>
      <c r="D5" s="3"/>
      <c r="E5" s="3"/>
      <c r="F5" s="3"/>
      <c r="G5" s="3"/>
      <c r="H5" s="3"/>
      <c r="I5" s="3"/>
      <c r="J5" s="3"/>
      <c r="K5" s="3"/>
      <c r="L5" s="3"/>
      <c r="M5" s="2"/>
      <c r="N5" s="2"/>
    </row>
    <row r="6" spans="1:14" ht="23" customHeight="1">
      <c r="A6" s="2"/>
      <c r="B6" s="2"/>
      <c r="C6" s="47" t="s">
        <v>716</v>
      </c>
      <c r="D6" s="48"/>
      <c r="E6" s="48" t="str">
        <f>IF(COUNTIFS(I10:I159,"PASS")=150,"PASS","REVIEW")</f>
        <v>PASS</v>
      </c>
      <c r="F6" s="48"/>
      <c r="G6" s="48"/>
      <c r="H6" s="48"/>
      <c r="I6" s="48"/>
      <c r="J6" s="48"/>
      <c r="K6" s="48"/>
      <c r="L6" s="48"/>
      <c r="M6" s="2"/>
      <c r="N6" s="2"/>
    </row>
    <row r="7" spans="1:14" ht="20" customHeight="1">
      <c r="A7" s="2"/>
      <c r="B7" s="2"/>
      <c r="C7" s="2"/>
      <c r="D7" s="3"/>
      <c r="E7" s="3"/>
      <c r="F7" s="3"/>
      <c r="G7" s="3"/>
      <c r="H7" s="3"/>
      <c r="I7" s="3"/>
      <c r="J7" s="3"/>
      <c r="K7" s="3"/>
      <c r="L7" s="3"/>
      <c r="M7" s="2"/>
      <c r="N7" s="2"/>
    </row>
    <row r="8" spans="1:14" ht="20" customHeight="1">
      <c r="A8" s="2"/>
      <c r="B8" s="2"/>
      <c r="C8" s="2"/>
      <c r="D8" s="3"/>
      <c r="E8" s="3"/>
      <c r="F8" s="3"/>
      <c r="G8" s="3"/>
      <c r="H8" s="3"/>
      <c r="I8" s="3"/>
      <c r="J8" s="3"/>
      <c r="K8" s="3"/>
      <c r="L8" s="3"/>
      <c r="M8" s="2"/>
      <c r="N8" s="2"/>
    </row>
    <row r="9" spans="1:14" ht="30" customHeight="1">
      <c r="A9" s="2"/>
      <c r="B9" s="2"/>
      <c r="C9" s="41" t="s">
        <v>717</v>
      </c>
      <c r="D9" s="42" t="s">
        <v>45</v>
      </c>
      <c r="E9" s="42" t="s">
        <v>718</v>
      </c>
      <c r="F9" s="42" t="s">
        <v>719</v>
      </c>
      <c r="G9" s="42" t="s">
        <v>720</v>
      </c>
      <c r="H9" s="42" t="s">
        <v>721</v>
      </c>
      <c r="I9" s="42" t="s">
        <v>722</v>
      </c>
      <c r="J9" s="42" t="s">
        <v>723</v>
      </c>
      <c r="K9" s="3"/>
      <c r="L9" s="3"/>
      <c r="M9" s="2"/>
      <c r="N9" s="2"/>
    </row>
    <row r="10" spans="1:14" ht="32" customHeight="1">
      <c r="A10" s="2"/>
      <c r="B10" s="2"/>
      <c r="C10" s="2" t="s">
        <v>724</v>
      </c>
      <c r="D10" s="3" t="s">
        <v>24</v>
      </c>
      <c r="E10" s="3">
        <f>'02 Model'!D53</f>
        <v>3983.7999999999993</v>
      </c>
      <c r="F10" s="3">
        <f>-'02 Model'!D73+'02 Model'!D89</f>
        <v>3983.8</v>
      </c>
      <c r="G10" s="49">
        <f t="shared" ref="G10:G41" si="0">E10-F10</f>
        <v>0</v>
      </c>
      <c r="H10" s="15">
        <v>0.1</v>
      </c>
      <c r="I10" s="3" t="str">
        <f t="shared" ref="I10:I41" si="1">IF(COUNT(E10:H10)&lt;4,"UNAVAILABLE",IF(ABS(G10)&lt;=H10,"PASS","FAIL"))</f>
        <v>PASS</v>
      </c>
      <c r="J10" s="17" t="s">
        <v>725</v>
      </c>
      <c r="K10" s="3"/>
      <c r="L10" s="3"/>
      <c r="M10" s="2"/>
      <c r="N10" s="2"/>
    </row>
    <row r="11" spans="1:14" ht="32" customHeight="1">
      <c r="A11" s="2"/>
      <c r="B11" s="2"/>
      <c r="C11" s="2" t="s">
        <v>726</v>
      </c>
      <c r="D11" s="3" t="s">
        <v>24</v>
      </c>
      <c r="E11" s="3">
        <f>'02 Model'!D137</f>
        <v>2.7</v>
      </c>
      <c r="F11" s="3">
        <f>SUM('02 Model'!D134,'02 Model'!D133,'02 Model'!D135,'02 Model'!D136)</f>
        <v>2.7000000000000171</v>
      </c>
      <c r="G11" s="49">
        <f t="shared" si="0"/>
        <v>-1.6875389974302379E-14</v>
      </c>
      <c r="H11" s="15">
        <v>0.1</v>
      </c>
      <c r="I11" s="3" t="str">
        <f t="shared" si="1"/>
        <v>PASS</v>
      </c>
      <c r="J11" s="17" t="s">
        <v>727</v>
      </c>
      <c r="K11" s="3"/>
      <c r="L11" s="3"/>
      <c r="M11" s="2"/>
      <c r="N11" s="2"/>
    </row>
    <row r="12" spans="1:14" ht="32" customHeight="1">
      <c r="A12" s="2"/>
      <c r="B12" s="2"/>
      <c r="C12" s="2" t="s">
        <v>724</v>
      </c>
      <c r="D12" s="3" t="s">
        <v>25</v>
      </c>
      <c r="E12" s="3">
        <f>'02 Model'!E53</f>
        <v>4724.3000000000011</v>
      </c>
      <c r="F12" s="3">
        <f>-'02 Model'!E73+'02 Model'!E89</f>
        <v>4724.3</v>
      </c>
      <c r="G12" s="49">
        <f t="shared" si="0"/>
        <v>0</v>
      </c>
      <c r="H12" s="15">
        <v>0.1</v>
      </c>
      <c r="I12" s="3" t="str">
        <f t="shared" si="1"/>
        <v>PASS</v>
      </c>
      <c r="J12" s="17" t="s">
        <v>728</v>
      </c>
      <c r="K12" s="3"/>
      <c r="L12" s="3"/>
      <c r="M12" s="2"/>
      <c r="N12" s="2"/>
    </row>
    <row r="13" spans="1:14" ht="32" customHeight="1">
      <c r="A13" s="2"/>
      <c r="B13" s="2"/>
      <c r="C13" s="2" t="s">
        <v>726</v>
      </c>
      <c r="D13" s="3" t="s">
        <v>25</v>
      </c>
      <c r="E13" s="3">
        <f>'02 Model'!E137</f>
        <v>124.3</v>
      </c>
      <c r="F13" s="3">
        <f>SUM('02 Model'!E134,'02 Model'!E133,'02 Model'!E135,'02 Model'!E136)</f>
        <v>124.3</v>
      </c>
      <c r="G13" s="49">
        <f t="shared" si="0"/>
        <v>0</v>
      </c>
      <c r="H13" s="15">
        <v>0.1</v>
      </c>
      <c r="I13" s="3" t="str">
        <f t="shared" si="1"/>
        <v>PASS</v>
      </c>
      <c r="J13" s="17" t="s">
        <v>729</v>
      </c>
      <c r="K13" s="3"/>
      <c r="L13" s="3"/>
      <c r="M13" s="2"/>
      <c r="N13" s="2"/>
    </row>
    <row r="14" spans="1:14" ht="32" customHeight="1">
      <c r="A14" s="2"/>
      <c r="B14" s="2"/>
      <c r="C14" s="2" t="s">
        <v>724</v>
      </c>
      <c r="D14" s="3" t="s">
        <v>26</v>
      </c>
      <c r="E14" s="3">
        <f>'02 Model'!F53</f>
        <v>4872.5000000000009</v>
      </c>
      <c r="F14" s="3">
        <f>-'02 Model'!F73+'02 Model'!F89</f>
        <v>4872.5</v>
      </c>
      <c r="G14" s="49">
        <f t="shared" si="0"/>
        <v>0</v>
      </c>
      <c r="H14" s="15">
        <v>0.1</v>
      </c>
      <c r="I14" s="3" t="str">
        <f t="shared" si="1"/>
        <v>PASS</v>
      </c>
      <c r="J14" s="17" t="s">
        <v>730</v>
      </c>
      <c r="K14" s="3"/>
      <c r="L14" s="3"/>
      <c r="M14" s="2"/>
      <c r="N14" s="2"/>
    </row>
    <row r="15" spans="1:14" ht="32" customHeight="1">
      <c r="A15" s="2"/>
      <c r="B15" s="2"/>
      <c r="C15" s="2" t="s">
        <v>726</v>
      </c>
      <c r="D15" s="3" t="s">
        <v>26</v>
      </c>
      <c r="E15" s="3">
        <f>'02 Model'!F137</f>
        <v>171.3</v>
      </c>
      <c r="F15" s="3">
        <f>SUM('02 Model'!F134,'02 Model'!F133,'02 Model'!F135,'02 Model'!F136)</f>
        <v>171.3</v>
      </c>
      <c r="G15" s="49">
        <f t="shared" si="0"/>
        <v>0</v>
      </c>
      <c r="H15" s="15">
        <v>0.1</v>
      </c>
      <c r="I15" s="3" t="str">
        <f t="shared" si="1"/>
        <v>PASS</v>
      </c>
      <c r="J15" s="17" t="s">
        <v>731</v>
      </c>
      <c r="K15" s="3"/>
      <c r="L15" s="3"/>
      <c r="M15" s="2"/>
      <c r="N15" s="2"/>
    </row>
    <row r="16" spans="1:14" ht="32" customHeight="1">
      <c r="A16" s="2"/>
      <c r="B16" s="2"/>
      <c r="C16" s="2" t="s">
        <v>724</v>
      </c>
      <c r="D16" s="3" t="s">
        <v>27</v>
      </c>
      <c r="E16" s="3">
        <f>'02 Model'!G53</f>
        <v>4915.2999999999993</v>
      </c>
      <c r="F16" s="3">
        <f>-'02 Model'!G73+'02 Model'!G89</f>
        <v>4915.3</v>
      </c>
      <c r="G16" s="49">
        <f t="shared" si="0"/>
        <v>0</v>
      </c>
      <c r="H16" s="15">
        <v>0.1</v>
      </c>
      <c r="I16" s="3" t="str">
        <f t="shared" si="1"/>
        <v>PASS</v>
      </c>
      <c r="J16" s="17" t="s">
        <v>732</v>
      </c>
      <c r="K16" s="3"/>
      <c r="L16" s="3"/>
      <c r="M16" s="2"/>
      <c r="N16" s="2"/>
    </row>
    <row r="17" spans="1:14" ht="32" customHeight="1">
      <c r="A17" s="2"/>
      <c r="B17" s="2"/>
      <c r="C17" s="2" t="s">
        <v>726</v>
      </c>
      <c r="D17" s="3" t="s">
        <v>27</v>
      </c>
      <c r="E17" s="3">
        <f>'02 Model'!G137</f>
        <v>60.2</v>
      </c>
      <c r="F17" s="3">
        <f>SUM('02 Model'!G134,'02 Model'!G133,'02 Model'!G135,'02 Model'!G136)</f>
        <v>60.200000000000017</v>
      </c>
      <c r="G17" s="49">
        <f t="shared" si="0"/>
        <v>0</v>
      </c>
      <c r="H17" s="15">
        <v>0.1</v>
      </c>
      <c r="I17" s="3" t="str">
        <f t="shared" si="1"/>
        <v>PASS</v>
      </c>
      <c r="J17" s="17" t="s">
        <v>733</v>
      </c>
      <c r="K17" s="3"/>
      <c r="L17" s="3"/>
      <c r="M17" s="2"/>
      <c r="N17" s="2"/>
    </row>
    <row r="18" spans="1:14" ht="32" customHeight="1">
      <c r="A18" s="2"/>
      <c r="B18" s="2"/>
      <c r="C18" s="2" t="s">
        <v>724</v>
      </c>
      <c r="D18" s="3" t="s">
        <v>28</v>
      </c>
      <c r="E18" s="3">
        <f>'02 Model'!H53</f>
        <v>4981.5262988045652</v>
      </c>
      <c r="F18" s="3">
        <f>-'02 Model'!H73+'02 Model'!H89</f>
        <v>4981.5262988045652</v>
      </c>
      <c r="G18" s="49">
        <f t="shared" si="0"/>
        <v>0</v>
      </c>
      <c r="H18" s="15">
        <v>0.1</v>
      </c>
      <c r="I18" s="3" t="str">
        <f t="shared" si="1"/>
        <v>PASS</v>
      </c>
      <c r="J18" s="17" t="s">
        <v>734</v>
      </c>
      <c r="K18" s="3"/>
      <c r="L18" s="3"/>
      <c r="M18" s="2"/>
      <c r="N18" s="2"/>
    </row>
    <row r="19" spans="1:14" ht="32" customHeight="1">
      <c r="A19" s="2"/>
      <c r="B19" s="2"/>
      <c r="C19" s="2" t="s">
        <v>726</v>
      </c>
      <c r="D19" s="3" t="s">
        <v>28</v>
      </c>
      <c r="E19" s="3">
        <f>'02 Model'!H137</f>
        <v>75.748154697716203</v>
      </c>
      <c r="F19" s="3">
        <f>SUM('02 Model'!H134,'02 Model'!H133,'02 Model'!H135,'02 Model'!H136)</f>
        <v>75.748154697716203</v>
      </c>
      <c r="G19" s="49">
        <f t="shared" si="0"/>
        <v>0</v>
      </c>
      <c r="H19" s="15">
        <v>0.1</v>
      </c>
      <c r="I19" s="3" t="str">
        <f t="shared" si="1"/>
        <v>PASS</v>
      </c>
      <c r="J19" s="17" t="s">
        <v>735</v>
      </c>
      <c r="K19" s="3"/>
      <c r="L19" s="3"/>
      <c r="M19" s="2"/>
      <c r="N19" s="2"/>
    </row>
    <row r="20" spans="1:14" ht="32" customHeight="1">
      <c r="A20" s="2"/>
      <c r="B20" s="2"/>
      <c r="C20" s="2" t="s">
        <v>724</v>
      </c>
      <c r="D20" s="3" t="s">
        <v>29</v>
      </c>
      <c r="E20" s="3">
        <f>'02 Model'!I53</f>
        <v>5187.0897471004391</v>
      </c>
      <c r="F20" s="3">
        <f>-'02 Model'!I73+'02 Model'!I89</f>
        <v>5187.0897471004391</v>
      </c>
      <c r="G20" s="49">
        <f t="shared" si="0"/>
        <v>0</v>
      </c>
      <c r="H20" s="15">
        <v>0.1</v>
      </c>
      <c r="I20" s="3" t="str">
        <f t="shared" si="1"/>
        <v>PASS</v>
      </c>
      <c r="J20" s="17" t="s">
        <v>736</v>
      </c>
      <c r="K20" s="3"/>
      <c r="L20" s="3"/>
      <c r="M20" s="2"/>
      <c r="N20" s="2"/>
    </row>
    <row r="21" spans="1:14" ht="32" customHeight="1">
      <c r="A21" s="2"/>
      <c r="B21" s="2"/>
      <c r="C21" s="2" t="s">
        <v>726</v>
      </c>
      <c r="D21" s="3" t="s">
        <v>29</v>
      </c>
      <c r="E21" s="3">
        <f>'02 Model'!I137</f>
        <v>63.999999999999957</v>
      </c>
      <c r="F21" s="3">
        <f>SUM('02 Model'!I134,'02 Model'!I133,'02 Model'!I135,'02 Model'!I136)</f>
        <v>63.999999999999957</v>
      </c>
      <c r="G21" s="49">
        <f t="shared" si="0"/>
        <v>0</v>
      </c>
      <c r="H21" s="15">
        <v>0.1</v>
      </c>
      <c r="I21" s="3" t="str">
        <f t="shared" si="1"/>
        <v>PASS</v>
      </c>
      <c r="J21" s="17" t="s">
        <v>737</v>
      </c>
      <c r="K21" s="3"/>
      <c r="L21" s="3"/>
      <c r="M21" s="2"/>
      <c r="N21" s="2"/>
    </row>
    <row r="22" spans="1:14" ht="32" customHeight="1">
      <c r="A22" s="2"/>
      <c r="B22" s="2"/>
      <c r="C22" s="2" t="s">
        <v>724</v>
      </c>
      <c r="D22" s="3" t="s">
        <v>30</v>
      </c>
      <c r="E22" s="3">
        <f>'02 Model'!J53</f>
        <v>5265.523122242249</v>
      </c>
      <c r="F22" s="3">
        <f>-'02 Model'!J73+'02 Model'!J89</f>
        <v>5265.5231222422499</v>
      </c>
      <c r="G22" s="49">
        <f t="shared" si="0"/>
        <v>0</v>
      </c>
      <c r="H22" s="15">
        <v>0.1</v>
      </c>
      <c r="I22" s="3" t="str">
        <f t="shared" si="1"/>
        <v>PASS</v>
      </c>
      <c r="J22" s="17" t="s">
        <v>738</v>
      </c>
      <c r="K22" s="3"/>
      <c r="L22" s="3"/>
      <c r="M22" s="2"/>
      <c r="N22" s="2"/>
    </row>
    <row r="23" spans="1:14" ht="32" customHeight="1">
      <c r="A23" s="2"/>
      <c r="B23" s="2"/>
      <c r="C23" s="2" t="s">
        <v>726</v>
      </c>
      <c r="D23" s="3" t="s">
        <v>30</v>
      </c>
      <c r="E23" s="3">
        <f>'02 Model'!J137</f>
        <v>63.999999999999957</v>
      </c>
      <c r="F23" s="3">
        <f>SUM('02 Model'!J134,'02 Model'!J133,'02 Model'!J135,'02 Model'!J136)</f>
        <v>63.999999999999957</v>
      </c>
      <c r="G23" s="49">
        <f t="shared" si="0"/>
        <v>0</v>
      </c>
      <c r="H23" s="15">
        <v>0.1</v>
      </c>
      <c r="I23" s="3" t="str">
        <f t="shared" si="1"/>
        <v>PASS</v>
      </c>
      <c r="J23" s="17" t="s">
        <v>739</v>
      </c>
      <c r="K23" s="3"/>
      <c r="L23" s="3"/>
      <c r="M23" s="2"/>
      <c r="N23" s="2"/>
    </row>
    <row r="24" spans="1:14" ht="32" customHeight="1">
      <c r="A24" s="2"/>
      <c r="B24" s="2"/>
      <c r="C24" s="2" t="s">
        <v>724</v>
      </c>
      <c r="D24" s="3" t="s">
        <v>31</v>
      </c>
      <c r="E24" s="3">
        <f>'02 Model'!K53</f>
        <v>5492.4262409840721</v>
      </c>
      <c r="F24" s="3">
        <f>-'02 Model'!K73+'02 Model'!K89</f>
        <v>5492.4262409840721</v>
      </c>
      <c r="G24" s="49">
        <f t="shared" si="0"/>
        <v>0</v>
      </c>
      <c r="H24" s="15">
        <v>0.1</v>
      </c>
      <c r="I24" s="3" t="str">
        <f t="shared" si="1"/>
        <v>PASS</v>
      </c>
      <c r="J24" s="17" t="s">
        <v>740</v>
      </c>
      <c r="K24" s="3"/>
      <c r="L24" s="3"/>
      <c r="M24" s="2"/>
      <c r="N24" s="2"/>
    </row>
    <row r="25" spans="1:14" ht="32" customHeight="1">
      <c r="A25" s="2"/>
      <c r="B25" s="2"/>
      <c r="C25" s="2" t="s">
        <v>726</v>
      </c>
      <c r="D25" s="3" t="s">
        <v>31</v>
      </c>
      <c r="E25" s="3">
        <f>'02 Model'!K137</f>
        <v>63.999999999999957</v>
      </c>
      <c r="F25" s="3">
        <f>SUM('02 Model'!K134,'02 Model'!K133,'02 Model'!K135,'02 Model'!K136)</f>
        <v>63.999999999999957</v>
      </c>
      <c r="G25" s="49">
        <f t="shared" si="0"/>
        <v>0</v>
      </c>
      <c r="H25" s="15">
        <v>0.1</v>
      </c>
      <c r="I25" s="3" t="str">
        <f t="shared" si="1"/>
        <v>PASS</v>
      </c>
      <c r="J25" s="17" t="s">
        <v>741</v>
      </c>
      <c r="K25" s="3"/>
      <c r="L25" s="3"/>
      <c r="M25" s="2"/>
      <c r="N25" s="2"/>
    </row>
    <row r="26" spans="1:14" ht="32" customHeight="1">
      <c r="A26" s="2"/>
      <c r="B26" s="2"/>
      <c r="C26" s="2" t="s">
        <v>724</v>
      </c>
      <c r="D26" s="3" t="s">
        <v>32</v>
      </c>
      <c r="E26" s="3">
        <f>'02 Model'!L53</f>
        <v>5605.8114163054706</v>
      </c>
      <c r="F26" s="3">
        <f>-'02 Model'!L73+'02 Model'!L89</f>
        <v>5605.8114163054706</v>
      </c>
      <c r="G26" s="49">
        <f t="shared" si="0"/>
        <v>0</v>
      </c>
      <c r="H26" s="15">
        <v>0.1</v>
      </c>
      <c r="I26" s="3" t="str">
        <f t="shared" si="1"/>
        <v>PASS</v>
      </c>
      <c r="J26" s="17" t="s">
        <v>742</v>
      </c>
      <c r="K26" s="3"/>
      <c r="L26" s="3"/>
      <c r="M26" s="2"/>
      <c r="N26" s="2"/>
    </row>
    <row r="27" spans="1:14" ht="32" customHeight="1">
      <c r="A27" s="2"/>
      <c r="B27" s="2"/>
      <c r="C27" s="2" t="s">
        <v>726</v>
      </c>
      <c r="D27" s="3" t="s">
        <v>32</v>
      </c>
      <c r="E27" s="3">
        <f>'02 Model'!L137</f>
        <v>63.999999999999957</v>
      </c>
      <c r="F27" s="3">
        <f>SUM('02 Model'!L134,'02 Model'!L133,'02 Model'!L135,'02 Model'!L136)</f>
        <v>63.999999999999957</v>
      </c>
      <c r="G27" s="49">
        <f t="shared" si="0"/>
        <v>0</v>
      </c>
      <c r="H27" s="15">
        <v>0.1</v>
      </c>
      <c r="I27" s="3" t="str">
        <f t="shared" si="1"/>
        <v>PASS</v>
      </c>
      <c r="J27" s="17" t="s">
        <v>743</v>
      </c>
      <c r="K27" s="3"/>
      <c r="L27" s="3"/>
      <c r="M27" s="2"/>
      <c r="N27" s="2"/>
    </row>
    <row r="28" spans="1:14" ht="32" customHeight="1">
      <c r="A28" s="2"/>
      <c r="B28" s="2"/>
      <c r="C28" s="2" t="s">
        <v>744</v>
      </c>
      <c r="D28" s="3" t="s">
        <v>28</v>
      </c>
      <c r="E28" s="3">
        <f>'02 Model'!H51-'02 Model'!H137</f>
        <v>36</v>
      </c>
      <c r="F28" s="3">
        <f>'02 Model'!G51-'02 Model'!G137</f>
        <v>36</v>
      </c>
      <c r="G28" s="49">
        <f t="shared" si="0"/>
        <v>0</v>
      </c>
      <c r="H28" s="15">
        <v>0.1</v>
      </c>
      <c r="I28" s="3" t="str">
        <f t="shared" si="1"/>
        <v>PASS</v>
      </c>
      <c r="J28" s="17" t="s">
        <v>745</v>
      </c>
      <c r="K28" s="3"/>
      <c r="L28" s="3"/>
      <c r="M28" s="2"/>
      <c r="N28" s="2"/>
    </row>
    <row r="29" spans="1:14" ht="32" customHeight="1">
      <c r="A29" s="2"/>
      <c r="B29" s="2"/>
      <c r="C29" s="2" t="s">
        <v>746</v>
      </c>
      <c r="D29" s="3" t="s">
        <v>28</v>
      </c>
      <c r="E29" s="3">
        <f>'03 Schedules'!H159</f>
        <v>696</v>
      </c>
      <c r="F29" s="3">
        <f>'03 Schedules'!H197</f>
        <v>696</v>
      </c>
      <c r="G29" s="49">
        <f t="shared" si="0"/>
        <v>0</v>
      </c>
      <c r="H29" s="15">
        <v>0.1</v>
      </c>
      <c r="I29" s="3" t="str">
        <f t="shared" si="1"/>
        <v>PASS</v>
      </c>
      <c r="J29" s="17" t="s">
        <v>747</v>
      </c>
      <c r="K29" s="3"/>
      <c r="L29" s="3"/>
      <c r="M29" s="2"/>
      <c r="N29" s="2"/>
    </row>
    <row r="30" spans="1:14" ht="32" customHeight="1">
      <c r="A30" s="2"/>
      <c r="B30" s="2"/>
      <c r="C30" s="2" t="s">
        <v>748</v>
      </c>
      <c r="D30" s="3" t="s">
        <v>28</v>
      </c>
      <c r="E30" s="3">
        <f>'03 Schedules'!H159</f>
        <v>696</v>
      </c>
      <c r="F30" s="3">
        <f>-SUM('02 Model'!H57:'02 Model'!H58)-'02 Model'!H66</f>
        <v>696</v>
      </c>
      <c r="G30" s="49">
        <f t="shared" si="0"/>
        <v>0</v>
      </c>
      <c r="H30" s="15">
        <v>0.1</v>
      </c>
      <c r="I30" s="3" t="str">
        <f t="shared" si="1"/>
        <v>PASS</v>
      </c>
      <c r="J30" s="17" t="s">
        <v>749</v>
      </c>
      <c r="K30" s="3"/>
      <c r="L30" s="3"/>
      <c r="M30" s="2"/>
      <c r="N30" s="2"/>
    </row>
    <row r="31" spans="1:14" ht="32" customHeight="1">
      <c r="A31" s="2"/>
      <c r="B31" s="2"/>
      <c r="C31" s="2" t="s">
        <v>750</v>
      </c>
      <c r="D31" s="3" t="s">
        <v>28</v>
      </c>
      <c r="E31" s="3">
        <f>-'02 Model'!H27</f>
        <v>89.577866666666665</v>
      </c>
      <c r="F31" s="3">
        <f>'03 Schedules'!H171+'03 Schedules'!H172+'03 Schedules'!H173</f>
        <v>89.577866666666665</v>
      </c>
      <c r="G31" s="49">
        <f t="shared" si="0"/>
        <v>0</v>
      </c>
      <c r="H31" s="15">
        <v>0.1</v>
      </c>
      <c r="I31" s="3" t="str">
        <f t="shared" si="1"/>
        <v>PASS</v>
      </c>
      <c r="J31" s="17" t="s">
        <v>751</v>
      </c>
      <c r="K31" s="3"/>
      <c r="L31" s="3"/>
      <c r="M31" s="2"/>
      <c r="N31" s="2"/>
    </row>
    <row r="32" spans="1:14" ht="32" customHeight="1">
      <c r="A32" s="2"/>
      <c r="B32" s="2"/>
      <c r="C32" s="2" t="s">
        <v>752</v>
      </c>
      <c r="D32" s="3" t="s">
        <v>28</v>
      </c>
      <c r="E32" s="3">
        <f>-'02 Model'!H123</f>
        <v>89.577866666666665</v>
      </c>
      <c r="F32" s="3">
        <f>'03 Schedules'!H171+'03 Schedules'!H172</f>
        <v>89.577866666666665</v>
      </c>
      <c r="G32" s="49">
        <f t="shared" si="0"/>
        <v>0</v>
      </c>
      <c r="H32" s="15">
        <v>0.1</v>
      </c>
      <c r="I32" s="3" t="str">
        <f t="shared" si="1"/>
        <v>PASS</v>
      </c>
      <c r="J32" s="17" t="s">
        <v>753</v>
      </c>
      <c r="K32" s="3"/>
      <c r="L32" s="3"/>
      <c r="M32" s="2"/>
      <c r="N32" s="2"/>
    </row>
    <row r="33" spans="1:14" ht="32" customHeight="1">
      <c r="A33" s="2"/>
      <c r="B33" s="2"/>
      <c r="C33" s="2" t="s">
        <v>160</v>
      </c>
      <c r="D33" s="3" t="s">
        <v>28</v>
      </c>
      <c r="E33" s="3">
        <f>'02 Model'!H26</f>
        <v>5.3670000000000009</v>
      </c>
      <c r="F33" s="3">
        <f>'03 Schedules'!H168+'03 Schedules'!H169</f>
        <v>5.3670000000000009</v>
      </c>
      <c r="G33" s="49">
        <f t="shared" si="0"/>
        <v>0</v>
      </c>
      <c r="H33" s="15">
        <v>0.1</v>
      </c>
      <c r="I33" s="3" t="str">
        <f t="shared" si="1"/>
        <v>PASS</v>
      </c>
      <c r="J33" s="17" t="s">
        <v>754</v>
      </c>
      <c r="K33" s="3"/>
      <c r="L33" s="3"/>
      <c r="M33" s="2"/>
      <c r="N33" s="2"/>
    </row>
    <row r="34" spans="1:14" ht="32" customHeight="1">
      <c r="A34" s="2"/>
      <c r="B34" s="2"/>
      <c r="C34" s="2" t="s">
        <v>755</v>
      </c>
      <c r="D34" s="3" t="s">
        <v>28</v>
      </c>
      <c r="E34" s="3">
        <f>-('02 Model'!H60+'02 Model'!H68)</f>
        <v>971.78900000000021</v>
      </c>
      <c r="F34" s="3">
        <f>'03 Schedules'!H76+'03 Schedules'!H77+'03 Schedules'!H78+'03 Schedules'!H79+'03 Schedules'!H80+'03 Schedules'!H82+'03 Schedules'!H83+'03 Schedules'!H84</f>
        <v>971.78900000000021</v>
      </c>
      <c r="G34" s="49">
        <f t="shared" si="0"/>
        <v>0</v>
      </c>
      <c r="H34" s="15">
        <v>0.1</v>
      </c>
      <c r="I34" s="3" t="str">
        <f t="shared" si="1"/>
        <v>PASS</v>
      </c>
      <c r="J34" s="17" t="s">
        <v>756</v>
      </c>
      <c r="K34" s="3"/>
      <c r="L34" s="3"/>
      <c r="M34" s="2"/>
      <c r="N34" s="2"/>
    </row>
    <row r="35" spans="1:14" ht="32" customHeight="1">
      <c r="A35" s="2"/>
      <c r="B35" s="2"/>
      <c r="C35" s="2" t="s">
        <v>757</v>
      </c>
      <c r="D35" s="3" t="s">
        <v>28</v>
      </c>
      <c r="E35" s="3">
        <f>'03 Schedules'!H85</f>
        <v>971.78900000000021</v>
      </c>
      <c r="F35" s="3">
        <f>'03 Schedules'!H87+'03 Schedules'!H88</f>
        <v>971.78900000000021</v>
      </c>
      <c r="G35" s="49">
        <f t="shared" si="0"/>
        <v>0</v>
      </c>
      <c r="H35" s="15">
        <v>0.1</v>
      </c>
      <c r="I35" s="3" t="str">
        <f t="shared" si="1"/>
        <v>PASS</v>
      </c>
      <c r="J35" s="17" t="s">
        <v>758</v>
      </c>
      <c r="K35" s="3"/>
      <c r="L35" s="3"/>
      <c r="M35" s="2"/>
      <c r="N35" s="2"/>
    </row>
    <row r="36" spans="1:14" ht="32" customHeight="1">
      <c r="A36" s="2"/>
      <c r="B36" s="2"/>
      <c r="C36" s="2" t="s">
        <v>759</v>
      </c>
      <c r="D36" s="3" t="s">
        <v>28</v>
      </c>
      <c r="E36" s="3">
        <f>'02 Model'!H37</f>
        <v>755.7</v>
      </c>
      <c r="F36" s="3">
        <f>SUM('03 Schedules'!H19:H22)</f>
        <v>755.7</v>
      </c>
      <c r="G36" s="49">
        <f t="shared" si="0"/>
        <v>0</v>
      </c>
      <c r="H36" s="15">
        <v>0.1</v>
      </c>
      <c r="I36" s="3" t="str">
        <f t="shared" si="1"/>
        <v>PASS</v>
      </c>
      <c r="J36" s="17" t="s">
        <v>760</v>
      </c>
      <c r="K36" s="3"/>
      <c r="L36" s="3"/>
      <c r="M36" s="2"/>
      <c r="N36" s="2"/>
    </row>
    <row r="37" spans="1:14" ht="32" customHeight="1">
      <c r="A37" s="2"/>
      <c r="B37" s="2"/>
      <c r="C37" s="2" t="s">
        <v>761</v>
      </c>
      <c r="D37" s="3" t="s">
        <v>28</v>
      </c>
      <c r="E37" s="3">
        <f>'02 Model'!H38</f>
        <v>684.7</v>
      </c>
      <c r="F37" s="3">
        <f>SUM('03 Schedules'!H40:H43)</f>
        <v>684.7</v>
      </c>
      <c r="G37" s="49">
        <f t="shared" si="0"/>
        <v>0</v>
      </c>
      <c r="H37" s="15">
        <v>0.1</v>
      </c>
      <c r="I37" s="3" t="str">
        <f t="shared" si="1"/>
        <v>PASS</v>
      </c>
      <c r="J37" s="17" t="s">
        <v>760</v>
      </c>
      <c r="K37" s="3"/>
      <c r="L37" s="3"/>
      <c r="M37" s="2"/>
      <c r="N37" s="2"/>
    </row>
    <row r="38" spans="1:14" ht="32" customHeight="1">
      <c r="A38" s="2"/>
      <c r="B38" s="2"/>
      <c r="C38" s="2" t="s">
        <v>762</v>
      </c>
      <c r="D38" s="3" t="s">
        <v>28</v>
      </c>
      <c r="E38" s="3">
        <f>'02 Model'!H39</f>
        <v>719.1</v>
      </c>
      <c r="F38" s="3">
        <f>SUM('03 Schedules'!H68:H73)</f>
        <v>719.1</v>
      </c>
      <c r="G38" s="49">
        <f t="shared" si="0"/>
        <v>0</v>
      </c>
      <c r="H38" s="15">
        <v>0.1</v>
      </c>
      <c r="I38" s="3" t="str">
        <f t="shared" si="1"/>
        <v>PASS</v>
      </c>
      <c r="J38" s="17" t="s">
        <v>760</v>
      </c>
      <c r="K38" s="3"/>
      <c r="L38" s="3"/>
      <c r="M38" s="2"/>
      <c r="N38" s="2"/>
    </row>
    <row r="39" spans="1:14" ht="32" customHeight="1">
      <c r="A39" s="2"/>
      <c r="B39" s="2"/>
      <c r="C39" s="2" t="s">
        <v>763</v>
      </c>
      <c r="D39" s="3" t="s">
        <v>28</v>
      </c>
      <c r="E39" s="3">
        <f>'02 Model'!H40</f>
        <v>43.2</v>
      </c>
      <c r="F39" s="3">
        <f>SUM('03 Schedules'!H46:H49)</f>
        <v>43.2</v>
      </c>
      <c r="G39" s="49">
        <f t="shared" si="0"/>
        <v>0</v>
      </c>
      <c r="H39" s="15">
        <v>0.1</v>
      </c>
      <c r="I39" s="3" t="str">
        <f t="shared" si="1"/>
        <v>PASS</v>
      </c>
      <c r="J39" s="17" t="s">
        <v>760</v>
      </c>
      <c r="K39" s="3"/>
      <c r="L39" s="3"/>
      <c r="M39" s="2"/>
      <c r="N39" s="2"/>
    </row>
    <row r="40" spans="1:14" ht="32" customHeight="1">
      <c r="A40" s="2"/>
      <c r="B40" s="2"/>
      <c r="C40" s="2" t="s">
        <v>764</v>
      </c>
      <c r="D40" s="3" t="s">
        <v>28</v>
      </c>
      <c r="E40" s="3">
        <f>'03 Schedules'!H357</f>
        <v>-10.356313106849758</v>
      </c>
      <c r="F40" s="3">
        <f>-('02 Model'!H46-'02 Model'!G46)-('02 Model'!H48-'02 Model'!G48)</f>
        <v>-10.356313106849758</v>
      </c>
      <c r="G40" s="49">
        <f t="shared" si="0"/>
        <v>0</v>
      </c>
      <c r="H40" s="15">
        <v>0.1</v>
      </c>
      <c r="I40" s="3" t="str">
        <f t="shared" si="1"/>
        <v>PASS</v>
      </c>
      <c r="J40" s="17" t="s">
        <v>765</v>
      </c>
      <c r="K40" s="3"/>
      <c r="L40" s="3"/>
      <c r="M40" s="2"/>
      <c r="N40" s="2"/>
    </row>
    <row r="41" spans="1:14" ht="32" customHeight="1">
      <c r="A41" s="2"/>
      <c r="B41" s="2"/>
      <c r="C41" s="2" t="s">
        <v>766</v>
      </c>
      <c r="D41" s="3" t="s">
        <v>28</v>
      </c>
      <c r="E41" s="3">
        <f>'03 Schedules'!H358</f>
        <v>12.678168999999798</v>
      </c>
      <c r="F41" s="3">
        <f>'02 Model'!G47-'02 Model'!H47</f>
        <v>12.678168999999798</v>
      </c>
      <c r="G41" s="49">
        <f t="shared" si="0"/>
        <v>0</v>
      </c>
      <c r="H41" s="15">
        <v>0.1</v>
      </c>
      <c r="I41" s="3" t="str">
        <f t="shared" si="1"/>
        <v>PASS</v>
      </c>
      <c r="J41" s="17" t="s">
        <v>767</v>
      </c>
      <c r="K41" s="3"/>
      <c r="L41" s="3"/>
      <c r="M41" s="2"/>
      <c r="N41" s="2"/>
    </row>
    <row r="42" spans="1:14" ht="32" customHeight="1">
      <c r="A42" s="2"/>
      <c r="B42" s="2"/>
      <c r="C42" s="2" t="s">
        <v>768</v>
      </c>
      <c r="D42" s="3" t="s">
        <v>28</v>
      </c>
      <c r="E42" s="3">
        <f>'03 Schedules'!H359</f>
        <v>93.708280471233138</v>
      </c>
      <c r="F42" s="3">
        <f>'02 Model'!G59-'02 Model'!H59</f>
        <v>93.708280471233138</v>
      </c>
      <c r="G42" s="49">
        <f t="shared" ref="G42:G73" si="2">E42-F42</f>
        <v>0</v>
      </c>
      <c r="H42" s="15">
        <v>0.1</v>
      </c>
      <c r="I42" s="3" t="str">
        <f t="shared" ref="I42:I73" si="3">IF(COUNT(E42:H42)&lt;4,"UNAVAILABLE",IF(ABS(G42)&lt;=H42,"PASS","FAIL"))</f>
        <v>PASS</v>
      </c>
      <c r="J42" s="17" t="s">
        <v>769</v>
      </c>
      <c r="K42" s="3"/>
      <c r="L42" s="3"/>
      <c r="M42" s="2"/>
      <c r="N42" s="2"/>
    </row>
    <row r="43" spans="1:14" ht="32" customHeight="1">
      <c r="A43" s="2"/>
      <c r="B43" s="2"/>
      <c r="C43" s="2" t="s">
        <v>770</v>
      </c>
      <c r="D43" s="3" t="s">
        <v>28</v>
      </c>
      <c r="E43" s="3">
        <f>'02 Model'!H47</f>
        <v>1647.9218310000001</v>
      </c>
      <c r="F43" s="3">
        <f>SUM('03 Schedules'!H113:H117)</f>
        <v>1647.9218310000001</v>
      </c>
      <c r="G43" s="49">
        <f t="shared" si="2"/>
        <v>0</v>
      </c>
      <c r="H43" s="15">
        <v>0.1</v>
      </c>
      <c r="I43" s="3" t="str">
        <f t="shared" si="3"/>
        <v>PASS</v>
      </c>
      <c r="J43" s="17" t="s">
        <v>771</v>
      </c>
      <c r="K43" s="3"/>
      <c r="L43" s="3"/>
      <c r="M43" s="2"/>
      <c r="N43" s="2"/>
    </row>
    <row r="44" spans="1:14" ht="32" customHeight="1">
      <c r="A44" s="2"/>
      <c r="B44" s="2"/>
      <c r="C44" s="2" t="s">
        <v>772</v>
      </c>
      <c r="D44" s="3" t="s">
        <v>28</v>
      </c>
      <c r="E44" s="3">
        <f>-'02 Model'!H59</f>
        <v>1226.1082804712332</v>
      </c>
      <c r="F44" s="3">
        <f>SUM('03 Schedules'!H123:H129)</f>
        <v>1226.1082804712332</v>
      </c>
      <c r="G44" s="49">
        <f t="shared" si="2"/>
        <v>0</v>
      </c>
      <c r="H44" s="15">
        <v>0.1</v>
      </c>
      <c r="I44" s="3" t="str">
        <f t="shared" si="3"/>
        <v>PASS</v>
      </c>
      <c r="J44" s="17" t="s">
        <v>773</v>
      </c>
      <c r="K44" s="3"/>
      <c r="L44" s="3"/>
      <c r="M44" s="2"/>
      <c r="N44" s="2"/>
    </row>
    <row r="45" spans="1:14" ht="32" customHeight="1">
      <c r="A45" s="2"/>
      <c r="B45" s="2"/>
      <c r="C45" s="2" t="s">
        <v>774</v>
      </c>
      <c r="D45" s="3" t="s">
        <v>28</v>
      </c>
      <c r="E45" s="3">
        <f>'02 Model'!H86</f>
        <v>3601.6513493487491</v>
      </c>
      <c r="F45" s="3">
        <f>SUM('03 Schedules'!H241:H252)</f>
        <v>3601.6513493487491</v>
      </c>
      <c r="G45" s="49">
        <f t="shared" si="2"/>
        <v>0</v>
      </c>
      <c r="H45" s="15">
        <v>0.1</v>
      </c>
      <c r="I45" s="3" t="str">
        <f t="shared" si="3"/>
        <v>PASS</v>
      </c>
      <c r="J45" s="17" t="s">
        <v>775</v>
      </c>
      <c r="K45" s="3"/>
      <c r="L45" s="3"/>
      <c r="M45" s="2"/>
      <c r="N45" s="2"/>
    </row>
    <row r="46" spans="1:14" ht="32" customHeight="1">
      <c r="A46" s="2"/>
      <c r="B46" s="2"/>
      <c r="C46" s="2" t="s">
        <v>776</v>
      </c>
      <c r="D46" s="3" t="s">
        <v>28</v>
      </c>
      <c r="E46" s="3">
        <f>'02 Model'!H30</f>
        <v>935.9467637499996</v>
      </c>
      <c r="F46" s="3">
        <f>'03 Schedules'!H242+('02 Model'!H30*'03 Schedules'!H210)</f>
        <v>935.9467637499996</v>
      </c>
      <c r="G46" s="49">
        <f t="shared" si="2"/>
        <v>0</v>
      </c>
      <c r="H46" s="15">
        <v>0.1</v>
      </c>
      <c r="I46" s="3" t="str">
        <f t="shared" si="3"/>
        <v>PASS</v>
      </c>
      <c r="J46" s="17" t="s">
        <v>777</v>
      </c>
      <c r="K46" s="3"/>
      <c r="L46" s="3"/>
      <c r="M46" s="2"/>
      <c r="N46" s="2"/>
    </row>
    <row r="47" spans="1:14" ht="32" customHeight="1">
      <c r="A47" s="2"/>
      <c r="B47" s="2"/>
      <c r="C47" s="2" t="s">
        <v>778</v>
      </c>
      <c r="D47" s="3" t="s">
        <v>28</v>
      </c>
      <c r="E47" s="3">
        <f>'02 Model'!H88</f>
        <v>119.79541440125001</v>
      </c>
      <c r="F47" s="3">
        <f>'02 Model'!G88+'02 Model'!H30-'03 Schedules'!H242+'02 Model'!H130</f>
        <v>119.79541440125013</v>
      </c>
      <c r="G47" s="49">
        <f t="shared" si="2"/>
        <v>-1.1368683772161603E-13</v>
      </c>
      <c r="H47" s="15">
        <v>0.1</v>
      </c>
      <c r="I47" s="3" t="str">
        <f t="shared" si="3"/>
        <v>PASS</v>
      </c>
      <c r="J47" s="17" t="s">
        <v>779</v>
      </c>
      <c r="K47" s="3"/>
      <c r="L47" s="3"/>
      <c r="M47" s="2"/>
      <c r="N47" s="2"/>
    </row>
    <row r="48" spans="1:14" ht="32" customHeight="1">
      <c r="A48" s="2"/>
      <c r="B48" s="2"/>
      <c r="C48" s="2" t="s">
        <v>780</v>
      </c>
      <c r="D48" s="3" t="s">
        <v>28</v>
      </c>
      <c r="E48" s="3">
        <f>-'02 Model'!H102-'02 Model'!H106</f>
        <v>237</v>
      </c>
      <c r="F48" s="3">
        <f>'01 Assumptions'!H24</f>
        <v>237</v>
      </c>
      <c r="G48" s="49">
        <f t="shared" si="2"/>
        <v>0</v>
      </c>
      <c r="H48" s="15">
        <v>0.1</v>
      </c>
      <c r="I48" s="3" t="str">
        <f t="shared" si="3"/>
        <v>PASS</v>
      </c>
      <c r="J48" s="17" t="s">
        <v>781</v>
      </c>
      <c r="K48" s="3"/>
      <c r="L48" s="3"/>
      <c r="M48" s="2"/>
      <c r="N48" s="2"/>
    </row>
    <row r="49" spans="1:14" ht="32" customHeight="1">
      <c r="A49" s="2"/>
      <c r="B49" s="2"/>
      <c r="C49" s="2" t="s">
        <v>782</v>
      </c>
      <c r="D49" s="3" t="s">
        <v>28</v>
      </c>
      <c r="E49" s="3">
        <f>'02 Model'!H129</f>
        <v>-318</v>
      </c>
      <c r="F49" s="3">
        <f>'03 Schedules'!H249</f>
        <v>-318</v>
      </c>
      <c r="G49" s="49">
        <f t="shared" si="2"/>
        <v>0</v>
      </c>
      <c r="H49" s="15">
        <v>0.1</v>
      </c>
      <c r="I49" s="3" t="str">
        <f t="shared" si="3"/>
        <v>PASS</v>
      </c>
      <c r="J49" s="17" t="s">
        <v>783</v>
      </c>
      <c r="K49" s="3"/>
      <c r="L49" s="3"/>
      <c r="M49" s="2"/>
      <c r="N49" s="2"/>
    </row>
    <row r="50" spans="1:14" ht="32" customHeight="1">
      <c r="A50" s="2"/>
      <c r="B50" s="2"/>
      <c r="C50" s="2" t="s">
        <v>784</v>
      </c>
      <c r="D50" s="3" t="s">
        <v>28</v>
      </c>
      <c r="E50" s="3">
        <f>'02 Model'!H114</f>
        <v>-524</v>
      </c>
      <c r="F50" s="3">
        <f>'03 Schedules'!H244</f>
        <v>-524</v>
      </c>
      <c r="G50" s="49">
        <f t="shared" si="2"/>
        <v>0</v>
      </c>
      <c r="H50" s="15">
        <v>0.1</v>
      </c>
      <c r="I50" s="3" t="str">
        <f t="shared" si="3"/>
        <v>PASS</v>
      </c>
      <c r="J50" s="17" t="s">
        <v>785</v>
      </c>
      <c r="K50" s="3"/>
      <c r="L50" s="3"/>
      <c r="M50" s="2"/>
      <c r="N50" s="2"/>
    </row>
    <row r="51" spans="1:14" ht="32" customHeight="1">
      <c r="A51" s="2"/>
      <c r="B51" s="2"/>
      <c r="C51" s="2" t="s">
        <v>786</v>
      </c>
      <c r="D51" s="3" t="s">
        <v>28</v>
      </c>
      <c r="E51" s="3">
        <f>SUM('02 Model'!H50,'02 Model'!H62,'02 Model'!H71)</f>
        <v>-75.882254583333179</v>
      </c>
      <c r="F51" s="3">
        <f>SUM('02 Model'!G50,'02 Model'!G62,'02 Model'!G71)+'02 Model'!H29-'02 Model'!H98+'03 Schedules'!H248</f>
        <v>-75.882254583333179</v>
      </c>
      <c r="G51" s="49">
        <f t="shared" si="2"/>
        <v>0</v>
      </c>
      <c r="H51" s="15">
        <v>0.1</v>
      </c>
      <c r="I51" s="3" t="str">
        <f t="shared" si="3"/>
        <v>PASS</v>
      </c>
      <c r="J51" s="17" t="s">
        <v>787</v>
      </c>
      <c r="K51" s="3"/>
      <c r="L51" s="3"/>
      <c r="M51" s="2"/>
      <c r="N51" s="2"/>
    </row>
    <row r="52" spans="1:14" ht="32" customHeight="1">
      <c r="A52" s="2"/>
      <c r="B52" s="2"/>
      <c r="C52" s="2" t="s">
        <v>744</v>
      </c>
      <c r="D52" s="3" t="s">
        <v>29</v>
      </c>
      <c r="E52" s="3">
        <f>'02 Model'!I51-'02 Model'!I137</f>
        <v>36</v>
      </c>
      <c r="F52" s="3">
        <f>'02 Model'!H51-'02 Model'!H137</f>
        <v>36</v>
      </c>
      <c r="G52" s="49">
        <f t="shared" si="2"/>
        <v>0</v>
      </c>
      <c r="H52" s="15">
        <v>0.1</v>
      </c>
      <c r="I52" s="3" t="str">
        <f t="shared" si="3"/>
        <v>PASS</v>
      </c>
      <c r="J52" s="17" t="s">
        <v>745</v>
      </c>
      <c r="K52" s="3"/>
      <c r="L52" s="3"/>
      <c r="M52" s="2"/>
      <c r="N52" s="2"/>
    </row>
    <row r="53" spans="1:14" ht="32" customHeight="1">
      <c r="A53" s="2"/>
      <c r="B53" s="2"/>
      <c r="C53" s="2" t="s">
        <v>746</v>
      </c>
      <c r="D53" s="3" t="s">
        <v>29</v>
      </c>
      <c r="E53" s="3">
        <f>'03 Schedules'!I159</f>
        <v>696</v>
      </c>
      <c r="F53" s="3">
        <f>'03 Schedules'!I197</f>
        <v>696</v>
      </c>
      <c r="G53" s="49">
        <f t="shared" si="2"/>
        <v>0</v>
      </c>
      <c r="H53" s="15">
        <v>0.1</v>
      </c>
      <c r="I53" s="3" t="str">
        <f t="shared" si="3"/>
        <v>PASS</v>
      </c>
      <c r="J53" s="17" t="s">
        <v>747</v>
      </c>
      <c r="K53" s="3"/>
      <c r="L53" s="3"/>
      <c r="M53" s="2"/>
      <c r="N53" s="2"/>
    </row>
    <row r="54" spans="1:14" ht="32" customHeight="1">
      <c r="A54" s="2"/>
      <c r="B54" s="2"/>
      <c r="C54" s="2" t="s">
        <v>748</v>
      </c>
      <c r="D54" s="3" t="s">
        <v>29</v>
      </c>
      <c r="E54" s="3">
        <f>'03 Schedules'!I159</f>
        <v>696</v>
      </c>
      <c r="F54" s="3">
        <f>-SUM('02 Model'!I57:'02 Model'!I58)-'02 Model'!I66</f>
        <v>696</v>
      </c>
      <c r="G54" s="49">
        <f t="shared" si="2"/>
        <v>0</v>
      </c>
      <c r="H54" s="15">
        <v>0.1</v>
      </c>
      <c r="I54" s="3" t="str">
        <f t="shared" si="3"/>
        <v>PASS</v>
      </c>
      <c r="J54" s="17" t="s">
        <v>749</v>
      </c>
      <c r="K54" s="3"/>
      <c r="L54" s="3"/>
      <c r="M54" s="2"/>
      <c r="N54" s="2"/>
    </row>
    <row r="55" spans="1:14" ht="32" customHeight="1">
      <c r="A55" s="2"/>
      <c r="B55" s="2"/>
      <c r="C55" s="2" t="s">
        <v>750</v>
      </c>
      <c r="D55" s="3" t="s">
        <v>29</v>
      </c>
      <c r="E55" s="3">
        <f>-'02 Model'!I27</f>
        <v>82.179817000000014</v>
      </c>
      <c r="F55" s="3">
        <f>'03 Schedules'!I171+'03 Schedules'!I172+'03 Schedules'!I173</f>
        <v>82.179817000000014</v>
      </c>
      <c r="G55" s="49">
        <f t="shared" si="2"/>
        <v>0</v>
      </c>
      <c r="H55" s="15">
        <v>0.1</v>
      </c>
      <c r="I55" s="3" t="str">
        <f t="shared" si="3"/>
        <v>PASS</v>
      </c>
      <c r="J55" s="17" t="s">
        <v>751</v>
      </c>
      <c r="K55" s="3"/>
      <c r="L55" s="3"/>
      <c r="M55" s="2"/>
      <c r="N55" s="2"/>
    </row>
    <row r="56" spans="1:14" ht="32" customHeight="1">
      <c r="A56" s="2"/>
      <c r="B56" s="2"/>
      <c r="C56" s="2" t="s">
        <v>752</v>
      </c>
      <c r="D56" s="3" t="s">
        <v>29</v>
      </c>
      <c r="E56" s="3">
        <f>-'02 Model'!I123</f>
        <v>82.179817000000014</v>
      </c>
      <c r="F56" s="3">
        <f>'03 Schedules'!I171+'03 Schedules'!I172</f>
        <v>82.179817000000014</v>
      </c>
      <c r="G56" s="49">
        <f t="shared" si="2"/>
        <v>0</v>
      </c>
      <c r="H56" s="15">
        <v>0.1</v>
      </c>
      <c r="I56" s="3" t="str">
        <f t="shared" si="3"/>
        <v>PASS</v>
      </c>
      <c r="J56" s="17" t="s">
        <v>753</v>
      </c>
      <c r="K56" s="3"/>
      <c r="L56" s="3"/>
      <c r="M56" s="2"/>
      <c r="N56" s="2"/>
    </row>
    <row r="57" spans="1:14" ht="32" customHeight="1">
      <c r="A57" s="2"/>
      <c r="B57" s="2"/>
      <c r="C57" s="2" t="s">
        <v>160</v>
      </c>
      <c r="D57" s="3" t="s">
        <v>29</v>
      </c>
      <c r="E57" s="3">
        <f>'02 Model'!I26</f>
        <v>5.7318150276757773</v>
      </c>
      <c r="F57" s="3">
        <f>'03 Schedules'!I168+'03 Schedules'!I169</f>
        <v>5.7318150276757773</v>
      </c>
      <c r="G57" s="49">
        <f t="shared" si="2"/>
        <v>0</v>
      </c>
      <c r="H57" s="15">
        <v>0.1</v>
      </c>
      <c r="I57" s="3" t="str">
        <f t="shared" si="3"/>
        <v>PASS</v>
      </c>
      <c r="J57" s="17" t="s">
        <v>754</v>
      </c>
      <c r="K57" s="3"/>
      <c r="L57" s="3"/>
      <c r="M57" s="2"/>
      <c r="N57" s="2"/>
    </row>
    <row r="58" spans="1:14" ht="32" customHeight="1">
      <c r="A58" s="2"/>
      <c r="B58" s="2"/>
      <c r="C58" s="2" t="s">
        <v>755</v>
      </c>
      <c r="D58" s="3" t="s">
        <v>29</v>
      </c>
      <c r="E58" s="3">
        <f>-('02 Model'!I60+'02 Model'!I68)</f>
        <v>940.29381700000022</v>
      </c>
      <c r="F58" s="3">
        <f>'03 Schedules'!I76+'03 Schedules'!I77+'03 Schedules'!I78+'03 Schedules'!I79+'03 Schedules'!I80+'03 Schedules'!I82+'03 Schedules'!I83+'03 Schedules'!I84</f>
        <v>940.29381700000022</v>
      </c>
      <c r="G58" s="49">
        <f t="shared" si="2"/>
        <v>0</v>
      </c>
      <c r="H58" s="15">
        <v>0.1</v>
      </c>
      <c r="I58" s="3" t="str">
        <f t="shared" si="3"/>
        <v>PASS</v>
      </c>
      <c r="J58" s="17" t="s">
        <v>756</v>
      </c>
      <c r="K58" s="3"/>
      <c r="L58" s="3"/>
      <c r="M58" s="2"/>
      <c r="N58" s="2"/>
    </row>
    <row r="59" spans="1:14" ht="32" customHeight="1">
      <c r="A59" s="2"/>
      <c r="B59" s="2"/>
      <c r="C59" s="2" t="s">
        <v>757</v>
      </c>
      <c r="D59" s="3" t="s">
        <v>29</v>
      </c>
      <c r="E59" s="3">
        <f>'03 Schedules'!I85</f>
        <v>940.29381700000022</v>
      </c>
      <c r="F59" s="3">
        <f>'03 Schedules'!I87+'03 Schedules'!I88</f>
        <v>940.29381700000022</v>
      </c>
      <c r="G59" s="49">
        <f t="shared" si="2"/>
        <v>0</v>
      </c>
      <c r="H59" s="15">
        <v>0.1</v>
      </c>
      <c r="I59" s="3" t="str">
        <f t="shared" si="3"/>
        <v>PASS</v>
      </c>
      <c r="J59" s="17" t="s">
        <v>758</v>
      </c>
      <c r="K59" s="3"/>
      <c r="L59" s="3"/>
      <c r="M59" s="2"/>
      <c r="N59" s="2"/>
    </row>
    <row r="60" spans="1:14" ht="32" customHeight="1">
      <c r="A60" s="2"/>
      <c r="B60" s="2"/>
      <c r="C60" s="2" t="s">
        <v>759</v>
      </c>
      <c r="D60" s="3" t="s">
        <v>29</v>
      </c>
      <c r="E60" s="3">
        <f>'02 Model'!I37</f>
        <v>847.7</v>
      </c>
      <c r="F60" s="3">
        <f>SUM('03 Schedules'!I19:I22)</f>
        <v>847.7</v>
      </c>
      <c r="G60" s="49">
        <f t="shared" si="2"/>
        <v>0</v>
      </c>
      <c r="H60" s="15">
        <v>0.1</v>
      </c>
      <c r="I60" s="3" t="str">
        <f t="shared" si="3"/>
        <v>PASS</v>
      </c>
      <c r="J60" s="17" t="s">
        <v>760</v>
      </c>
      <c r="K60" s="3"/>
      <c r="L60" s="3"/>
      <c r="M60" s="2"/>
      <c r="N60" s="2"/>
    </row>
    <row r="61" spans="1:14" ht="32" customHeight="1">
      <c r="A61" s="2"/>
      <c r="B61" s="2"/>
      <c r="C61" s="2" t="s">
        <v>761</v>
      </c>
      <c r="D61" s="3" t="s">
        <v>29</v>
      </c>
      <c r="E61" s="3">
        <f>'02 Model'!I38</f>
        <v>656.7</v>
      </c>
      <c r="F61" s="3">
        <f>SUM('03 Schedules'!I40:I43)</f>
        <v>656.7</v>
      </c>
      <c r="G61" s="49">
        <f t="shared" si="2"/>
        <v>0</v>
      </c>
      <c r="H61" s="15">
        <v>0.1</v>
      </c>
      <c r="I61" s="3" t="str">
        <f t="shared" si="3"/>
        <v>PASS</v>
      </c>
      <c r="J61" s="17" t="s">
        <v>760</v>
      </c>
      <c r="K61" s="3"/>
      <c r="L61" s="3"/>
      <c r="M61" s="2"/>
      <c r="N61" s="2"/>
    </row>
    <row r="62" spans="1:14" ht="32" customHeight="1">
      <c r="A62" s="2"/>
      <c r="B62" s="2"/>
      <c r="C62" s="2" t="s">
        <v>762</v>
      </c>
      <c r="D62" s="3" t="s">
        <v>29</v>
      </c>
      <c r="E62" s="3">
        <f>'02 Model'!I39</f>
        <v>708.1</v>
      </c>
      <c r="F62" s="3">
        <f>SUM('03 Schedules'!I68:I73)</f>
        <v>708.1</v>
      </c>
      <c r="G62" s="49">
        <f t="shared" si="2"/>
        <v>0</v>
      </c>
      <c r="H62" s="15">
        <v>0.1</v>
      </c>
      <c r="I62" s="3" t="str">
        <f t="shared" si="3"/>
        <v>PASS</v>
      </c>
      <c r="J62" s="17" t="s">
        <v>760</v>
      </c>
      <c r="K62" s="3"/>
      <c r="L62" s="3"/>
      <c r="M62" s="2"/>
      <c r="N62" s="2"/>
    </row>
    <row r="63" spans="1:14" ht="32" customHeight="1">
      <c r="A63" s="2"/>
      <c r="B63" s="2"/>
      <c r="C63" s="2" t="s">
        <v>763</v>
      </c>
      <c r="D63" s="3" t="s">
        <v>29</v>
      </c>
      <c r="E63" s="3">
        <f>'02 Model'!I40</f>
        <v>51.7</v>
      </c>
      <c r="F63" s="3">
        <f>SUM('03 Schedules'!I46:I49)</f>
        <v>51.7</v>
      </c>
      <c r="G63" s="49">
        <f t="shared" si="2"/>
        <v>0</v>
      </c>
      <c r="H63" s="15">
        <v>0.1</v>
      </c>
      <c r="I63" s="3" t="str">
        <f t="shared" si="3"/>
        <v>PASS</v>
      </c>
      <c r="J63" s="17" t="s">
        <v>760</v>
      </c>
      <c r="K63" s="3"/>
      <c r="L63" s="3"/>
      <c r="M63" s="2"/>
      <c r="N63" s="2"/>
    </row>
    <row r="64" spans="1:14" ht="32" customHeight="1">
      <c r="A64" s="2"/>
      <c r="B64" s="2"/>
      <c r="C64" s="2" t="s">
        <v>764</v>
      </c>
      <c r="D64" s="3" t="s">
        <v>29</v>
      </c>
      <c r="E64" s="3">
        <f>'03 Schedules'!I357</f>
        <v>-111.99629313358901</v>
      </c>
      <c r="F64" s="3">
        <f>-('02 Model'!I46-'02 Model'!H46)-('02 Model'!I48-'02 Model'!H48)</f>
        <v>-111.99629313358901</v>
      </c>
      <c r="G64" s="49">
        <f t="shared" si="2"/>
        <v>0</v>
      </c>
      <c r="H64" s="15">
        <v>0.1</v>
      </c>
      <c r="I64" s="3" t="str">
        <f t="shared" si="3"/>
        <v>PASS</v>
      </c>
      <c r="J64" s="17" t="s">
        <v>765</v>
      </c>
      <c r="K64" s="3"/>
      <c r="L64" s="3"/>
      <c r="M64" s="2"/>
      <c r="N64" s="2"/>
    </row>
    <row r="65" spans="1:14" ht="32" customHeight="1">
      <c r="A65" s="2"/>
      <c r="B65" s="2"/>
      <c r="C65" s="2" t="s">
        <v>766</v>
      </c>
      <c r="D65" s="3" t="s">
        <v>29</v>
      </c>
      <c r="E65" s="3">
        <f>'03 Schedules'!I358</f>
        <v>-43.815309859999843</v>
      </c>
      <c r="F65" s="3">
        <f>'02 Model'!H47-'02 Model'!I47</f>
        <v>-43.815309859999843</v>
      </c>
      <c r="G65" s="49">
        <f t="shared" si="2"/>
        <v>0</v>
      </c>
      <c r="H65" s="15">
        <v>0.1</v>
      </c>
      <c r="I65" s="3" t="str">
        <f t="shared" si="3"/>
        <v>PASS</v>
      </c>
      <c r="J65" s="17" t="s">
        <v>767</v>
      </c>
      <c r="K65" s="3"/>
      <c r="L65" s="3"/>
      <c r="M65" s="2"/>
      <c r="N65" s="2"/>
    </row>
    <row r="66" spans="1:14" ht="32" customHeight="1">
      <c r="A66" s="2"/>
      <c r="B66" s="2"/>
      <c r="C66" s="2" t="s">
        <v>768</v>
      </c>
      <c r="D66" s="3" t="s">
        <v>29</v>
      </c>
      <c r="E66" s="3">
        <f>'03 Schedules'!I359</f>
        <v>43.043684891726116</v>
      </c>
      <c r="F66" s="3">
        <f>'02 Model'!H59-'02 Model'!I59</f>
        <v>43.043684891726116</v>
      </c>
      <c r="G66" s="49">
        <f t="shared" si="2"/>
        <v>0</v>
      </c>
      <c r="H66" s="15">
        <v>0.1</v>
      </c>
      <c r="I66" s="3" t="str">
        <f t="shared" si="3"/>
        <v>PASS</v>
      </c>
      <c r="J66" s="17" t="s">
        <v>769</v>
      </c>
      <c r="K66" s="3"/>
      <c r="L66" s="3"/>
      <c r="M66" s="2"/>
      <c r="N66" s="2"/>
    </row>
    <row r="67" spans="1:14" ht="32" customHeight="1">
      <c r="A67" s="2"/>
      <c r="B67" s="2"/>
      <c r="C67" s="2" t="s">
        <v>770</v>
      </c>
      <c r="D67" s="3" t="s">
        <v>29</v>
      </c>
      <c r="E67" s="3">
        <f>'02 Model'!I47</f>
        <v>1691.73714086</v>
      </c>
      <c r="F67" s="3">
        <f>SUM('03 Schedules'!I113:I117)</f>
        <v>1691.73714086</v>
      </c>
      <c r="G67" s="49">
        <f t="shared" si="2"/>
        <v>0</v>
      </c>
      <c r="H67" s="15">
        <v>0.1</v>
      </c>
      <c r="I67" s="3" t="str">
        <f t="shared" si="3"/>
        <v>PASS</v>
      </c>
      <c r="J67" s="17" t="s">
        <v>771</v>
      </c>
      <c r="K67" s="3"/>
      <c r="L67" s="3"/>
      <c r="M67" s="2"/>
      <c r="N67" s="2"/>
    </row>
    <row r="68" spans="1:14" ht="32" customHeight="1">
      <c r="A68" s="2"/>
      <c r="B68" s="2"/>
      <c r="C68" s="2" t="s">
        <v>772</v>
      </c>
      <c r="D68" s="3" t="s">
        <v>29</v>
      </c>
      <c r="E68" s="3">
        <f>-'02 Model'!I59</f>
        <v>1269.1519653629593</v>
      </c>
      <c r="F68" s="3">
        <f>SUM('03 Schedules'!I123:I129)</f>
        <v>1269.1519653629593</v>
      </c>
      <c r="G68" s="49">
        <f t="shared" si="2"/>
        <v>0</v>
      </c>
      <c r="H68" s="15">
        <v>0.1</v>
      </c>
      <c r="I68" s="3" t="str">
        <f t="shared" si="3"/>
        <v>PASS</v>
      </c>
      <c r="J68" s="17" t="s">
        <v>773</v>
      </c>
      <c r="K68" s="3"/>
      <c r="L68" s="3"/>
      <c r="M68" s="2"/>
      <c r="N68" s="2"/>
    </row>
    <row r="69" spans="1:14" ht="32" customHeight="1">
      <c r="A69" s="2"/>
      <c r="B69" s="2"/>
      <c r="C69" s="2" t="s">
        <v>774</v>
      </c>
      <c r="D69" s="3" t="s">
        <v>29</v>
      </c>
      <c r="E69" s="3">
        <f>'02 Model'!I86</f>
        <v>3821.3410297127862</v>
      </c>
      <c r="F69" s="3">
        <f>SUM('03 Schedules'!I241:I252)</f>
        <v>3821.3410297127862</v>
      </c>
      <c r="G69" s="49">
        <f t="shared" si="2"/>
        <v>0</v>
      </c>
      <c r="H69" s="15">
        <v>0.1</v>
      </c>
      <c r="I69" s="3" t="str">
        <f t="shared" si="3"/>
        <v>PASS</v>
      </c>
      <c r="J69" s="17" t="s">
        <v>775</v>
      </c>
      <c r="K69" s="3"/>
      <c r="L69" s="3"/>
      <c r="M69" s="2"/>
      <c r="N69" s="2"/>
    </row>
    <row r="70" spans="1:14" ht="32" customHeight="1">
      <c r="A70" s="2"/>
      <c r="B70" s="2"/>
      <c r="C70" s="2" t="s">
        <v>776</v>
      </c>
      <c r="D70" s="3" t="s">
        <v>29</v>
      </c>
      <c r="E70" s="3">
        <f>'02 Model'!I30</f>
        <v>1007.6563757907568</v>
      </c>
      <c r="F70" s="3">
        <f>'03 Schedules'!I242+('02 Model'!I30*'03 Schedules'!I210)</f>
        <v>1007.6563757907568</v>
      </c>
      <c r="G70" s="49">
        <f t="shared" si="2"/>
        <v>0</v>
      </c>
      <c r="H70" s="15">
        <v>0.1</v>
      </c>
      <c r="I70" s="3" t="str">
        <f t="shared" si="3"/>
        <v>PASS</v>
      </c>
      <c r="J70" s="17" t="s">
        <v>777</v>
      </c>
      <c r="K70" s="3"/>
      <c r="L70" s="3"/>
      <c r="M70" s="2"/>
      <c r="N70" s="2"/>
    </row>
    <row r="71" spans="1:14" ht="32" customHeight="1">
      <c r="A71" s="2"/>
      <c r="B71" s="2"/>
      <c r="C71" s="2" t="s">
        <v>778</v>
      </c>
      <c r="D71" s="3" t="s">
        <v>29</v>
      </c>
      <c r="E71" s="3">
        <f>'02 Model'!I88</f>
        <v>123.1206804413595</v>
      </c>
      <c r="F71" s="3">
        <f>'02 Model'!H88+'02 Model'!I30-'03 Schedules'!I242+'02 Model'!I130</f>
        <v>123.12068044135938</v>
      </c>
      <c r="G71" s="49">
        <f t="shared" si="2"/>
        <v>1.1368683772161603E-13</v>
      </c>
      <c r="H71" s="15">
        <v>0.1</v>
      </c>
      <c r="I71" s="3" t="str">
        <f t="shared" si="3"/>
        <v>PASS</v>
      </c>
      <c r="J71" s="17" t="s">
        <v>779</v>
      </c>
      <c r="K71" s="3"/>
      <c r="L71" s="3"/>
      <c r="M71" s="2"/>
      <c r="N71" s="2"/>
    </row>
    <row r="72" spans="1:14" ht="32" customHeight="1">
      <c r="A72" s="2"/>
      <c r="B72" s="2"/>
      <c r="C72" s="2" t="s">
        <v>780</v>
      </c>
      <c r="D72" s="3" t="s">
        <v>29</v>
      </c>
      <c r="E72" s="3">
        <f>-'02 Model'!I102-'02 Model'!I106</f>
        <v>252</v>
      </c>
      <c r="F72" s="3">
        <f>'01 Assumptions'!I24</f>
        <v>252</v>
      </c>
      <c r="G72" s="49">
        <f t="shared" si="2"/>
        <v>0</v>
      </c>
      <c r="H72" s="15">
        <v>0.1</v>
      </c>
      <c r="I72" s="3" t="str">
        <f t="shared" si="3"/>
        <v>PASS</v>
      </c>
      <c r="J72" s="17" t="s">
        <v>781</v>
      </c>
      <c r="K72" s="3"/>
      <c r="L72" s="3"/>
      <c r="M72" s="2"/>
      <c r="N72" s="2"/>
    </row>
    <row r="73" spans="1:14" ht="32" customHeight="1">
      <c r="A73" s="2"/>
      <c r="B73" s="2"/>
      <c r="C73" s="2" t="s">
        <v>782</v>
      </c>
      <c r="D73" s="3" t="s">
        <v>29</v>
      </c>
      <c r="E73" s="3">
        <f>'02 Model'!I129</f>
        <v>-340.4</v>
      </c>
      <c r="F73" s="3">
        <f>'03 Schedules'!I249</f>
        <v>-340.4</v>
      </c>
      <c r="G73" s="49">
        <f t="shared" si="2"/>
        <v>0</v>
      </c>
      <c r="H73" s="15">
        <v>0.1</v>
      </c>
      <c r="I73" s="3" t="str">
        <f t="shared" si="3"/>
        <v>PASS</v>
      </c>
      <c r="J73" s="17" t="s">
        <v>783</v>
      </c>
      <c r="K73" s="3"/>
      <c r="L73" s="3"/>
      <c r="M73" s="2"/>
      <c r="N73" s="2"/>
    </row>
    <row r="74" spans="1:14" ht="32" customHeight="1">
      <c r="A74" s="2"/>
      <c r="B74" s="2"/>
      <c r="C74" s="2" t="s">
        <v>784</v>
      </c>
      <c r="D74" s="3" t="s">
        <v>29</v>
      </c>
      <c r="E74" s="3">
        <f>'02 Model'!I114</f>
        <v>-461.48247529302137</v>
      </c>
      <c r="F74" s="3">
        <f>'03 Schedules'!I244</f>
        <v>-461.48247529302137</v>
      </c>
      <c r="G74" s="49">
        <f t="shared" ref="G74:G105" si="4">E74-F74</f>
        <v>0</v>
      </c>
      <c r="H74" s="15">
        <v>0.1</v>
      </c>
      <c r="I74" s="3" t="str">
        <f t="shared" ref="I74:I105" si="5">IF(COUNT(E74:H74)&lt;4,"UNAVAILABLE",IF(ABS(G74)&lt;=H74,"PASS","FAIL"))</f>
        <v>PASS</v>
      </c>
      <c r="J74" s="17" t="s">
        <v>785</v>
      </c>
      <c r="K74" s="3"/>
      <c r="L74" s="3"/>
      <c r="M74" s="2"/>
      <c r="N74" s="2"/>
    </row>
    <row r="75" spans="1:14" ht="32" customHeight="1">
      <c r="A75" s="2"/>
      <c r="B75" s="2"/>
      <c r="C75" s="2" t="s">
        <v>786</v>
      </c>
      <c r="D75" s="3" t="s">
        <v>29</v>
      </c>
      <c r="E75" s="3">
        <f>SUM('02 Model'!I50,'02 Model'!I62,'02 Model'!I71)</f>
        <v>-75.882254583333179</v>
      </c>
      <c r="F75" s="3">
        <f>SUM('02 Model'!H50,'02 Model'!H62,'02 Model'!H71)+'02 Model'!I29-'02 Model'!I98+'03 Schedules'!I248</f>
        <v>-75.882254583333179</v>
      </c>
      <c r="G75" s="49">
        <f t="shared" si="4"/>
        <v>0</v>
      </c>
      <c r="H75" s="15">
        <v>0.1</v>
      </c>
      <c r="I75" s="3" t="str">
        <f t="shared" si="5"/>
        <v>PASS</v>
      </c>
      <c r="J75" s="17" t="s">
        <v>787</v>
      </c>
      <c r="K75" s="3"/>
      <c r="L75" s="3"/>
      <c r="M75" s="2"/>
      <c r="N75" s="2"/>
    </row>
    <row r="76" spans="1:14" ht="32" customHeight="1">
      <c r="A76" s="2"/>
      <c r="B76" s="2"/>
      <c r="C76" s="2" t="s">
        <v>788</v>
      </c>
      <c r="D76" s="3" t="s">
        <v>29</v>
      </c>
      <c r="E76" s="3">
        <f>-'02 Model'!I114-'02 Model'!I128</f>
        <v>461.48247529302137</v>
      </c>
      <c r="F76" s="3">
        <f>'03 Schedules'!I319</f>
        <v>461.48247529302137</v>
      </c>
      <c r="G76" s="49">
        <f t="shared" si="4"/>
        <v>0</v>
      </c>
      <c r="H76" s="15">
        <v>0.1</v>
      </c>
      <c r="I76" s="3" t="str">
        <f t="shared" si="5"/>
        <v>PASS</v>
      </c>
      <c r="J76" s="17" t="s">
        <v>789</v>
      </c>
      <c r="K76" s="3"/>
      <c r="L76" s="3"/>
      <c r="M76" s="2"/>
      <c r="N76" s="2"/>
    </row>
    <row r="77" spans="1:14" ht="32" customHeight="1">
      <c r="A77" s="2"/>
      <c r="B77" s="2"/>
      <c r="C77" s="2" t="s">
        <v>790</v>
      </c>
      <c r="D77" s="3" t="s">
        <v>29</v>
      </c>
      <c r="E77" s="3">
        <f>'03 Schedules'!I159</f>
        <v>696</v>
      </c>
      <c r="F77" s="3">
        <f>'03 Schedules'!I187</f>
        <v>696</v>
      </c>
      <c r="G77" s="49">
        <f t="shared" si="4"/>
        <v>0</v>
      </c>
      <c r="H77" s="15">
        <v>0.1</v>
      </c>
      <c r="I77" s="3" t="str">
        <f t="shared" si="5"/>
        <v>PASS</v>
      </c>
      <c r="J77" s="17" t="s">
        <v>791</v>
      </c>
      <c r="K77" s="3"/>
      <c r="L77" s="3"/>
      <c r="M77" s="2"/>
      <c r="N77" s="2"/>
    </row>
    <row r="78" spans="1:14" ht="32" customHeight="1">
      <c r="A78" s="2"/>
      <c r="B78" s="2"/>
      <c r="C78" s="2" t="s">
        <v>792</v>
      </c>
      <c r="D78" s="3" t="s">
        <v>29</v>
      </c>
      <c r="E78" s="3">
        <f>'03 Schedules'!I69</f>
        <v>125</v>
      </c>
      <c r="F78" s="3">
        <f>'03 Schedules'!I77</f>
        <v>125</v>
      </c>
      <c r="G78" s="49">
        <f t="shared" si="4"/>
        <v>0</v>
      </c>
      <c r="H78" s="15">
        <v>0.1</v>
      </c>
      <c r="I78" s="3" t="str">
        <f t="shared" si="5"/>
        <v>PASS</v>
      </c>
      <c r="J78" s="17" t="s">
        <v>793</v>
      </c>
      <c r="K78" s="3"/>
      <c r="L78" s="3"/>
      <c r="M78" s="2"/>
      <c r="N78" s="2"/>
    </row>
    <row r="79" spans="1:14" ht="32" customHeight="1">
      <c r="A79" s="2"/>
      <c r="B79" s="2"/>
      <c r="C79" s="2" t="s">
        <v>744</v>
      </c>
      <c r="D79" s="3" t="s">
        <v>30</v>
      </c>
      <c r="E79" s="3">
        <f>'02 Model'!J51-'02 Model'!J137</f>
        <v>36</v>
      </c>
      <c r="F79" s="3">
        <f>'02 Model'!I51-'02 Model'!I137</f>
        <v>36</v>
      </c>
      <c r="G79" s="49">
        <f t="shared" si="4"/>
        <v>0</v>
      </c>
      <c r="H79" s="15">
        <v>0.1</v>
      </c>
      <c r="I79" s="3" t="str">
        <f t="shared" si="5"/>
        <v>PASS</v>
      </c>
      <c r="J79" s="17" t="s">
        <v>745</v>
      </c>
      <c r="K79" s="3"/>
      <c r="L79" s="3"/>
      <c r="M79" s="2"/>
      <c r="N79" s="2"/>
    </row>
    <row r="80" spans="1:14" ht="32" customHeight="1">
      <c r="A80" s="2"/>
      <c r="B80" s="2"/>
      <c r="C80" s="2" t="s">
        <v>746</v>
      </c>
      <c r="D80" s="3" t="s">
        <v>30</v>
      </c>
      <c r="E80" s="3">
        <f>'03 Schedules'!J159</f>
        <v>696</v>
      </c>
      <c r="F80" s="3">
        <f>'03 Schedules'!J197</f>
        <v>696</v>
      </c>
      <c r="G80" s="49">
        <f t="shared" si="4"/>
        <v>0</v>
      </c>
      <c r="H80" s="15">
        <v>0.1</v>
      </c>
      <c r="I80" s="3" t="str">
        <f t="shared" si="5"/>
        <v>PASS</v>
      </c>
      <c r="J80" s="17" t="s">
        <v>747</v>
      </c>
      <c r="K80" s="3"/>
      <c r="L80" s="3"/>
      <c r="M80" s="2"/>
      <c r="N80" s="2"/>
    </row>
    <row r="81" spans="1:14" ht="32" customHeight="1">
      <c r="A81" s="2"/>
      <c r="B81" s="2"/>
      <c r="C81" s="2" t="s">
        <v>748</v>
      </c>
      <c r="D81" s="3" t="s">
        <v>30</v>
      </c>
      <c r="E81" s="3">
        <f>'03 Schedules'!J159</f>
        <v>696</v>
      </c>
      <c r="F81" s="3">
        <f>-SUM('02 Model'!J57:'02 Model'!J58)-'02 Model'!J66</f>
        <v>696</v>
      </c>
      <c r="G81" s="49">
        <f t="shared" si="4"/>
        <v>0</v>
      </c>
      <c r="H81" s="15">
        <v>0.1</v>
      </c>
      <c r="I81" s="3" t="str">
        <f t="shared" si="5"/>
        <v>PASS</v>
      </c>
      <c r="J81" s="17" t="s">
        <v>749</v>
      </c>
      <c r="K81" s="3"/>
      <c r="L81" s="3"/>
      <c r="M81" s="2"/>
      <c r="N81" s="2"/>
    </row>
    <row r="82" spans="1:14" ht="32" customHeight="1">
      <c r="A82" s="2"/>
      <c r="B82" s="2"/>
      <c r="C82" s="2" t="s">
        <v>750</v>
      </c>
      <c r="D82" s="3" t="s">
        <v>30</v>
      </c>
      <c r="E82" s="3">
        <f>-'02 Model'!J27</f>
        <v>80.485859667</v>
      </c>
      <c r="F82" s="3">
        <f>'03 Schedules'!J171+'03 Schedules'!J172+'03 Schedules'!J173</f>
        <v>80.485859667</v>
      </c>
      <c r="G82" s="49">
        <f t="shared" si="4"/>
        <v>0</v>
      </c>
      <c r="H82" s="15">
        <v>0.1</v>
      </c>
      <c r="I82" s="3" t="str">
        <f t="shared" si="5"/>
        <v>PASS</v>
      </c>
      <c r="J82" s="17" t="s">
        <v>751</v>
      </c>
      <c r="K82" s="3"/>
      <c r="L82" s="3"/>
      <c r="M82" s="2"/>
      <c r="N82" s="2"/>
    </row>
    <row r="83" spans="1:14" ht="32" customHeight="1">
      <c r="A83" s="2"/>
      <c r="B83" s="2"/>
      <c r="C83" s="2" t="s">
        <v>752</v>
      </c>
      <c r="D83" s="3" t="s">
        <v>30</v>
      </c>
      <c r="E83" s="3">
        <f>-'02 Model'!J123</f>
        <v>80.485859667</v>
      </c>
      <c r="F83" s="3">
        <f>'03 Schedules'!J171+'03 Schedules'!J172</f>
        <v>80.485859667</v>
      </c>
      <c r="G83" s="49">
        <f t="shared" si="4"/>
        <v>0</v>
      </c>
      <c r="H83" s="15">
        <v>0.1</v>
      </c>
      <c r="I83" s="3" t="str">
        <f t="shared" si="5"/>
        <v>PASS</v>
      </c>
      <c r="J83" s="17" t="s">
        <v>753</v>
      </c>
      <c r="K83" s="3"/>
      <c r="L83" s="3"/>
      <c r="M83" s="2"/>
      <c r="N83" s="2"/>
    </row>
    <row r="84" spans="1:14" ht="32" customHeight="1">
      <c r="A84" s="2"/>
      <c r="B84" s="2"/>
      <c r="C84" s="2" t="s">
        <v>160</v>
      </c>
      <c r="D84" s="3" t="s">
        <v>30</v>
      </c>
      <c r="E84" s="3">
        <f>'02 Model'!J26</f>
        <v>5.1999999999999993</v>
      </c>
      <c r="F84" s="3">
        <f>'03 Schedules'!J168+'03 Schedules'!J169</f>
        <v>5.1999999999999993</v>
      </c>
      <c r="G84" s="49">
        <f t="shared" si="4"/>
        <v>0</v>
      </c>
      <c r="H84" s="15">
        <v>0.1</v>
      </c>
      <c r="I84" s="3" t="str">
        <f t="shared" si="5"/>
        <v>PASS</v>
      </c>
      <c r="J84" s="17" t="s">
        <v>754</v>
      </c>
      <c r="K84" s="3"/>
      <c r="L84" s="3"/>
      <c r="M84" s="2"/>
      <c r="N84" s="2"/>
    </row>
    <row r="85" spans="1:14" ht="32" customHeight="1">
      <c r="A85" s="2"/>
      <c r="B85" s="2"/>
      <c r="C85" s="2" t="s">
        <v>755</v>
      </c>
      <c r="D85" s="3" t="s">
        <v>30</v>
      </c>
      <c r="E85" s="3">
        <f>-('02 Model'!J60+'02 Model'!J68)</f>
        <v>905.24880166700018</v>
      </c>
      <c r="F85" s="3">
        <f>'03 Schedules'!J76+'03 Schedules'!J77+'03 Schedules'!J78+'03 Schedules'!J79+'03 Schedules'!J80+'03 Schedules'!J82+'03 Schedules'!J83+'03 Schedules'!J84</f>
        <v>905.24880166700018</v>
      </c>
      <c r="G85" s="49">
        <f t="shared" si="4"/>
        <v>0</v>
      </c>
      <c r="H85" s="15">
        <v>0.1</v>
      </c>
      <c r="I85" s="3" t="str">
        <f t="shared" si="5"/>
        <v>PASS</v>
      </c>
      <c r="J85" s="17" t="s">
        <v>756</v>
      </c>
      <c r="K85" s="3"/>
      <c r="L85" s="3"/>
      <c r="M85" s="2"/>
      <c r="N85" s="2"/>
    </row>
    <row r="86" spans="1:14" ht="32" customHeight="1">
      <c r="A86" s="2"/>
      <c r="B86" s="2"/>
      <c r="C86" s="2" t="s">
        <v>757</v>
      </c>
      <c r="D86" s="3" t="s">
        <v>30</v>
      </c>
      <c r="E86" s="3">
        <f>'03 Schedules'!J85</f>
        <v>905.24880166700018</v>
      </c>
      <c r="F86" s="3">
        <f>'03 Schedules'!J87+'03 Schedules'!J88</f>
        <v>905.24880166700018</v>
      </c>
      <c r="G86" s="49">
        <f t="shared" si="4"/>
        <v>0</v>
      </c>
      <c r="H86" s="15">
        <v>0.1</v>
      </c>
      <c r="I86" s="3" t="str">
        <f t="shared" si="5"/>
        <v>PASS</v>
      </c>
      <c r="J86" s="17" t="s">
        <v>758</v>
      </c>
      <c r="K86" s="3"/>
      <c r="L86" s="3"/>
      <c r="M86" s="2"/>
      <c r="N86" s="2"/>
    </row>
    <row r="87" spans="1:14" ht="32" customHeight="1">
      <c r="A87" s="2"/>
      <c r="B87" s="2"/>
      <c r="C87" s="2" t="s">
        <v>759</v>
      </c>
      <c r="D87" s="3" t="s">
        <v>30</v>
      </c>
      <c r="E87" s="3">
        <f>'02 Model'!J37</f>
        <v>902.7</v>
      </c>
      <c r="F87" s="3">
        <f>SUM('03 Schedules'!J19:J22)</f>
        <v>902.7</v>
      </c>
      <c r="G87" s="49">
        <f t="shared" si="4"/>
        <v>0</v>
      </c>
      <c r="H87" s="15">
        <v>0.1</v>
      </c>
      <c r="I87" s="3" t="str">
        <f t="shared" si="5"/>
        <v>PASS</v>
      </c>
      <c r="J87" s="17" t="s">
        <v>760</v>
      </c>
      <c r="K87" s="3"/>
      <c r="L87" s="3"/>
      <c r="M87" s="2"/>
      <c r="N87" s="2"/>
    </row>
    <row r="88" spans="1:14" ht="32" customHeight="1">
      <c r="A88" s="2"/>
      <c r="B88" s="2"/>
      <c r="C88" s="2" t="s">
        <v>761</v>
      </c>
      <c r="D88" s="3" t="s">
        <v>30</v>
      </c>
      <c r="E88" s="3">
        <f>'02 Model'!J38</f>
        <v>626.70000000000005</v>
      </c>
      <c r="F88" s="3">
        <f>SUM('03 Schedules'!J40:J43)</f>
        <v>626.70000000000005</v>
      </c>
      <c r="G88" s="49">
        <f t="shared" si="4"/>
        <v>0</v>
      </c>
      <c r="H88" s="15">
        <v>0.1</v>
      </c>
      <c r="I88" s="3" t="str">
        <f t="shared" si="5"/>
        <v>PASS</v>
      </c>
      <c r="J88" s="17" t="s">
        <v>760</v>
      </c>
      <c r="K88" s="3"/>
      <c r="L88" s="3"/>
      <c r="M88" s="2"/>
      <c r="N88" s="2"/>
    </row>
    <row r="89" spans="1:14" ht="32" customHeight="1">
      <c r="A89" s="2"/>
      <c r="B89" s="2"/>
      <c r="C89" s="2" t="s">
        <v>762</v>
      </c>
      <c r="D89" s="3" t="s">
        <v>30</v>
      </c>
      <c r="E89" s="3">
        <f>'02 Model'!J39</f>
        <v>700.1</v>
      </c>
      <c r="F89" s="3">
        <f>SUM('03 Schedules'!J68:J73)</f>
        <v>700.1</v>
      </c>
      <c r="G89" s="49">
        <f t="shared" si="4"/>
        <v>0</v>
      </c>
      <c r="H89" s="15">
        <v>0.1</v>
      </c>
      <c r="I89" s="3" t="str">
        <f t="shared" si="5"/>
        <v>PASS</v>
      </c>
      <c r="J89" s="17" t="s">
        <v>760</v>
      </c>
      <c r="K89" s="3"/>
      <c r="L89" s="3"/>
      <c r="M89" s="2"/>
      <c r="N89" s="2"/>
    </row>
    <row r="90" spans="1:14" ht="32" customHeight="1">
      <c r="A90" s="2"/>
      <c r="B90" s="2"/>
      <c r="C90" s="2" t="s">
        <v>763</v>
      </c>
      <c r="D90" s="3" t="s">
        <v>30</v>
      </c>
      <c r="E90" s="3">
        <f>'02 Model'!J40</f>
        <v>60.7</v>
      </c>
      <c r="F90" s="3">
        <f>SUM('03 Schedules'!J46:J49)</f>
        <v>60.7</v>
      </c>
      <c r="G90" s="49">
        <f t="shared" si="4"/>
        <v>0</v>
      </c>
      <c r="H90" s="15">
        <v>0.1</v>
      </c>
      <c r="I90" s="3" t="str">
        <f t="shared" si="5"/>
        <v>PASS</v>
      </c>
      <c r="J90" s="17" t="s">
        <v>760</v>
      </c>
      <c r="K90" s="3"/>
      <c r="L90" s="3"/>
      <c r="M90" s="2"/>
      <c r="N90" s="2"/>
    </row>
    <row r="91" spans="1:14" ht="32" customHeight="1">
      <c r="A91" s="2"/>
      <c r="B91" s="2"/>
      <c r="C91" s="2" t="s">
        <v>764</v>
      </c>
      <c r="D91" s="3" t="s">
        <v>30</v>
      </c>
      <c r="E91" s="3">
        <f>'03 Schedules'!J357</f>
        <v>-7.2135323945103664</v>
      </c>
      <c r="F91" s="3">
        <f>-('02 Model'!J46-'02 Model'!I46)-('02 Model'!J48-'02 Model'!I48)</f>
        <v>-7.2135323945103664</v>
      </c>
      <c r="G91" s="49">
        <f t="shared" si="4"/>
        <v>0</v>
      </c>
      <c r="H91" s="15">
        <v>0.1</v>
      </c>
      <c r="I91" s="3" t="str">
        <f t="shared" si="5"/>
        <v>PASS</v>
      </c>
      <c r="J91" s="17" t="s">
        <v>765</v>
      </c>
      <c r="K91" s="3"/>
      <c r="L91" s="3"/>
      <c r="M91" s="2"/>
      <c r="N91" s="2"/>
    </row>
    <row r="92" spans="1:14" ht="32" customHeight="1">
      <c r="A92" s="2"/>
      <c r="B92" s="2"/>
      <c r="C92" s="2" t="s">
        <v>766</v>
      </c>
      <c r="D92" s="3" t="s">
        <v>30</v>
      </c>
      <c r="E92" s="3">
        <f>'03 Schedules'!J358</f>
        <v>-45.219842747300163</v>
      </c>
      <c r="F92" s="3">
        <f>'02 Model'!I47-'02 Model'!J47</f>
        <v>-45.219842747300163</v>
      </c>
      <c r="G92" s="49">
        <f t="shared" si="4"/>
        <v>0</v>
      </c>
      <c r="H92" s="15">
        <v>0.1</v>
      </c>
      <c r="I92" s="3" t="str">
        <f t="shared" si="5"/>
        <v>PASS</v>
      </c>
      <c r="J92" s="17" t="s">
        <v>767</v>
      </c>
      <c r="K92" s="3"/>
      <c r="L92" s="3"/>
      <c r="M92" s="2"/>
      <c r="N92" s="2"/>
    </row>
    <row r="93" spans="1:14" ht="32" customHeight="1">
      <c r="A93" s="2"/>
      <c r="B93" s="2"/>
      <c r="C93" s="2" t="s">
        <v>768</v>
      </c>
      <c r="D93" s="3" t="s">
        <v>30</v>
      </c>
      <c r="E93" s="3">
        <f>'03 Schedules'!J359</f>
        <v>95.397987033246864</v>
      </c>
      <c r="F93" s="3">
        <f>'02 Model'!I59-'02 Model'!J59</f>
        <v>95.397987033246864</v>
      </c>
      <c r="G93" s="49">
        <f t="shared" si="4"/>
        <v>0</v>
      </c>
      <c r="H93" s="15">
        <v>0.1</v>
      </c>
      <c r="I93" s="3" t="str">
        <f t="shared" si="5"/>
        <v>PASS</v>
      </c>
      <c r="J93" s="17" t="s">
        <v>769</v>
      </c>
      <c r="K93" s="3"/>
      <c r="L93" s="3"/>
      <c r="M93" s="2"/>
      <c r="N93" s="2"/>
    </row>
    <row r="94" spans="1:14" ht="32" customHeight="1">
      <c r="A94" s="2"/>
      <c r="B94" s="2"/>
      <c r="C94" s="2" t="s">
        <v>770</v>
      </c>
      <c r="D94" s="3" t="s">
        <v>30</v>
      </c>
      <c r="E94" s="3">
        <f>'02 Model'!J47</f>
        <v>1736.9569836073001</v>
      </c>
      <c r="F94" s="3">
        <f>SUM('03 Schedules'!J113:J117)</f>
        <v>1736.9569836073001</v>
      </c>
      <c r="G94" s="49">
        <f t="shared" si="4"/>
        <v>0</v>
      </c>
      <c r="H94" s="15">
        <v>0.1</v>
      </c>
      <c r="I94" s="3" t="str">
        <f t="shared" si="5"/>
        <v>PASS</v>
      </c>
      <c r="J94" s="17" t="s">
        <v>771</v>
      </c>
      <c r="K94" s="3"/>
      <c r="L94" s="3"/>
      <c r="M94" s="2"/>
      <c r="N94" s="2"/>
    </row>
    <row r="95" spans="1:14" ht="32" customHeight="1">
      <c r="A95" s="2"/>
      <c r="B95" s="2"/>
      <c r="C95" s="2" t="s">
        <v>772</v>
      </c>
      <c r="D95" s="3" t="s">
        <v>30</v>
      </c>
      <c r="E95" s="3">
        <f>-'02 Model'!J59</f>
        <v>1364.5499523962062</v>
      </c>
      <c r="F95" s="3">
        <f>SUM('03 Schedules'!J123:J129)</f>
        <v>1364.5499523962062</v>
      </c>
      <c r="G95" s="49">
        <f t="shared" si="4"/>
        <v>0</v>
      </c>
      <c r="H95" s="15">
        <v>0.1</v>
      </c>
      <c r="I95" s="3" t="str">
        <f t="shared" si="5"/>
        <v>PASS</v>
      </c>
      <c r="J95" s="17" t="s">
        <v>773</v>
      </c>
      <c r="K95" s="3"/>
      <c r="L95" s="3"/>
      <c r="M95" s="2"/>
      <c r="N95" s="2"/>
    </row>
    <row r="96" spans="1:14" ht="32" customHeight="1">
      <c r="A96" s="2"/>
      <c r="B96" s="2"/>
      <c r="C96" s="2" t="s">
        <v>774</v>
      </c>
      <c r="D96" s="3" t="s">
        <v>30</v>
      </c>
      <c r="E96" s="3">
        <f>'02 Model'!J86</f>
        <v>3865.8894757674047</v>
      </c>
      <c r="F96" s="3">
        <f>SUM('03 Schedules'!J241:J252)</f>
        <v>3865.8894757674047</v>
      </c>
      <c r="G96" s="49">
        <f t="shared" si="4"/>
        <v>0</v>
      </c>
      <c r="H96" s="15">
        <v>0.1</v>
      </c>
      <c r="I96" s="3" t="str">
        <f t="shared" si="5"/>
        <v>PASS</v>
      </c>
      <c r="J96" s="17" t="s">
        <v>775</v>
      </c>
      <c r="K96" s="3"/>
      <c r="L96" s="3"/>
      <c r="M96" s="2"/>
      <c r="N96" s="2"/>
    </row>
    <row r="97" spans="1:14" ht="32" customHeight="1">
      <c r="A97" s="2"/>
      <c r="B97" s="2"/>
      <c r="C97" s="2" t="s">
        <v>776</v>
      </c>
      <c r="D97" s="3" t="s">
        <v>30</v>
      </c>
      <c r="E97" s="3">
        <f>'02 Model'!J30</f>
        <v>1070.2901172562122</v>
      </c>
      <c r="F97" s="3">
        <f>'03 Schedules'!J242+('02 Model'!J30*'03 Schedules'!J210)</f>
        <v>1070.2901172562122</v>
      </c>
      <c r="G97" s="49">
        <f t="shared" si="4"/>
        <v>0</v>
      </c>
      <c r="H97" s="15">
        <v>0.1</v>
      </c>
      <c r="I97" s="3" t="str">
        <f t="shared" si="5"/>
        <v>PASS</v>
      </c>
      <c r="J97" s="17" t="s">
        <v>777</v>
      </c>
      <c r="K97" s="3"/>
      <c r="L97" s="3"/>
      <c r="M97" s="2"/>
      <c r="N97" s="2"/>
    </row>
    <row r="98" spans="1:14" ht="32" customHeight="1">
      <c r="A98" s="2"/>
      <c r="B98" s="2"/>
      <c r="C98" s="2" t="s">
        <v>778</v>
      </c>
      <c r="D98" s="3" t="s">
        <v>30</v>
      </c>
      <c r="E98" s="3">
        <f>'02 Model'!J88</f>
        <v>126.65263782830503</v>
      </c>
      <c r="F98" s="3">
        <f>'02 Model'!I88+'02 Model'!J30-'03 Schedules'!J242+'02 Model'!J130</f>
        <v>126.65263782830512</v>
      </c>
      <c r="G98" s="49">
        <f t="shared" si="4"/>
        <v>0</v>
      </c>
      <c r="H98" s="15">
        <v>0.1</v>
      </c>
      <c r="I98" s="3" t="str">
        <f t="shared" si="5"/>
        <v>PASS</v>
      </c>
      <c r="J98" s="17" t="s">
        <v>779</v>
      </c>
      <c r="K98" s="3"/>
      <c r="L98" s="3"/>
      <c r="M98" s="2"/>
      <c r="N98" s="2"/>
    </row>
    <row r="99" spans="1:14" ht="32" customHeight="1">
      <c r="A99" s="2"/>
      <c r="B99" s="2"/>
      <c r="C99" s="2" t="s">
        <v>780</v>
      </c>
      <c r="D99" s="3" t="s">
        <v>30</v>
      </c>
      <c r="E99" s="3">
        <f>-'02 Model'!J102-'02 Model'!J106</f>
        <v>227</v>
      </c>
      <c r="F99" s="3">
        <f>'01 Assumptions'!J24</f>
        <v>227</v>
      </c>
      <c r="G99" s="49">
        <f t="shared" si="4"/>
        <v>0</v>
      </c>
      <c r="H99" s="15">
        <v>0.1</v>
      </c>
      <c r="I99" s="3" t="str">
        <f t="shared" si="5"/>
        <v>PASS</v>
      </c>
      <c r="J99" s="17" t="s">
        <v>781</v>
      </c>
      <c r="K99" s="3"/>
      <c r="L99" s="3"/>
      <c r="M99" s="2"/>
      <c r="N99" s="2"/>
    </row>
    <row r="100" spans="1:14" ht="32" customHeight="1">
      <c r="A100" s="2"/>
      <c r="B100" s="2"/>
      <c r="C100" s="2" t="s">
        <v>782</v>
      </c>
      <c r="D100" s="3" t="s">
        <v>30</v>
      </c>
      <c r="E100" s="3">
        <f>'02 Model'!J129</f>
        <v>-374.1</v>
      </c>
      <c r="F100" s="3">
        <f>'03 Schedules'!J249</f>
        <v>-374.1</v>
      </c>
      <c r="G100" s="49">
        <f t="shared" si="4"/>
        <v>0</v>
      </c>
      <c r="H100" s="15">
        <v>0.1</v>
      </c>
      <c r="I100" s="3" t="str">
        <f t="shared" si="5"/>
        <v>PASS</v>
      </c>
      <c r="J100" s="17" t="s">
        <v>783</v>
      </c>
      <c r="K100" s="3"/>
      <c r="L100" s="3"/>
      <c r="M100" s="2"/>
      <c r="N100" s="2"/>
    </row>
    <row r="101" spans="1:14" ht="32" customHeight="1">
      <c r="A101" s="2"/>
      <c r="B101" s="2"/>
      <c r="C101" s="2" t="s">
        <v>784</v>
      </c>
      <c r="D101" s="3" t="s">
        <v>30</v>
      </c>
      <c r="E101" s="3">
        <f>'02 Model'!J114</f>
        <v>-665.86847991177581</v>
      </c>
      <c r="F101" s="3">
        <f>'03 Schedules'!J244</f>
        <v>-665.86847991177581</v>
      </c>
      <c r="G101" s="49">
        <f t="shared" si="4"/>
        <v>0</v>
      </c>
      <c r="H101" s="15">
        <v>0.1</v>
      </c>
      <c r="I101" s="3" t="str">
        <f t="shared" si="5"/>
        <v>PASS</v>
      </c>
      <c r="J101" s="17" t="s">
        <v>785</v>
      </c>
      <c r="K101" s="3"/>
      <c r="L101" s="3"/>
      <c r="M101" s="2"/>
      <c r="N101" s="2"/>
    </row>
    <row r="102" spans="1:14" ht="32" customHeight="1">
      <c r="A102" s="2"/>
      <c r="B102" s="2"/>
      <c r="C102" s="2" t="s">
        <v>786</v>
      </c>
      <c r="D102" s="3" t="s">
        <v>30</v>
      </c>
      <c r="E102" s="3">
        <f>SUM('02 Model'!J50,'02 Model'!J62,'02 Model'!J71)</f>
        <v>-75.882254583333179</v>
      </c>
      <c r="F102" s="3">
        <f>SUM('02 Model'!I50,'02 Model'!I62,'02 Model'!I71)+'02 Model'!J29-'02 Model'!J98+'03 Schedules'!J248</f>
        <v>-75.882254583333179</v>
      </c>
      <c r="G102" s="49">
        <f t="shared" si="4"/>
        <v>0</v>
      </c>
      <c r="H102" s="15">
        <v>0.1</v>
      </c>
      <c r="I102" s="3" t="str">
        <f t="shared" si="5"/>
        <v>PASS</v>
      </c>
      <c r="J102" s="17" t="s">
        <v>787</v>
      </c>
      <c r="K102" s="3"/>
      <c r="L102" s="3"/>
      <c r="M102" s="2"/>
      <c r="N102" s="2"/>
    </row>
    <row r="103" spans="1:14" ht="32" customHeight="1">
      <c r="A103" s="2"/>
      <c r="B103" s="2"/>
      <c r="C103" s="2" t="s">
        <v>788</v>
      </c>
      <c r="D103" s="3" t="s">
        <v>30</v>
      </c>
      <c r="E103" s="3">
        <f>-'02 Model'!J114-'02 Model'!J128</f>
        <v>665.86847991177581</v>
      </c>
      <c r="F103" s="3">
        <f>'03 Schedules'!J319</f>
        <v>665.86847991177581</v>
      </c>
      <c r="G103" s="49">
        <f t="shared" si="4"/>
        <v>0</v>
      </c>
      <c r="H103" s="15">
        <v>0.1</v>
      </c>
      <c r="I103" s="3" t="str">
        <f t="shared" si="5"/>
        <v>PASS</v>
      </c>
      <c r="J103" s="17" t="s">
        <v>789</v>
      </c>
      <c r="K103" s="3"/>
      <c r="L103" s="3"/>
      <c r="M103" s="2"/>
      <c r="N103" s="2"/>
    </row>
    <row r="104" spans="1:14" ht="32" customHeight="1">
      <c r="A104" s="2"/>
      <c r="B104" s="2"/>
      <c r="C104" s="2" t="s">
        <v>790</v>
      </c>
      <c r="D104" s="3" t="s">
        <v>30</v>
      </c>
      <c r="E104" s="3">
        <f>'03 Schedules'!J159</f>
        <v>696</v>
      </c>
      <c r="F104" s="3">
        <f>'03 Schedules'!J187</f>
        <v>696</v>
      </c>
      <c r="G104" s="49">
        <f t="shared" si="4"/>
        <v>0</v>
      </c>
      <c r="H104" s="15">
        <v>0.1</v>
      </c>
      <c r="I104" s="3" t="str">
        <f t="shared" si="5"/>
        <v>PASS</v>
      </c>
      <c r="J104" s="17" t="s">
        <v>791</v>
      </c>
      <c r="K104" s="3"/>
      <c r="L104" s="3"/>
      <c r="M104" s="2"/>
      <c r="N104" s="2"/>
    </row>
    <row r="105" spans="1:14" ht="32" customHeight="1">
      <c r="A105" s="2"/>
      <c r="B105" s="2"/>
      <c r="C105" s="2" t="s">
        <v>792</v>
      </c>
      <c r="D105" s="3" t="s">
        <v>30</v>
      </c>
      <c r="E105" s="3">
        <f>'03 Schedules'!J69</f>
        <v>130</v>
      </c>
      <c r="F105" s="3">
        <f>'03 Schedules'!J77</f>
        <v>130</v>
      </c>
      <c r="G105" s="49">
        <f t="shared" si="4"/>
        <v>0</v>
      </c>
      <c r="H105" s="15">
        <v>0.1</v>
      </c>
      <c r="I105" s="3" t="str">
        <f t="shared" si="5"/>
        <v>PASS</v>
      </c>
      <c r="J105" s="17" t="s">
        <v>793</v>
      </c>
      <c r="K105" s="3"/>
      <c r="L105" s="3"/>
      <c r="M105" s="2"/>
      <c r="N105" s="2"/>
    </row>
    <row r="106" spans="1:14" ht="32" customHeight="1">
      <c r="A106" s="2"/>
      <c r="B106" s="2"/>
      <c r="C106" s="2" t="s">
        <v>744</v>
      </c>
      <c r="D106" s="3" t="s">
        <v>31</v>
      </c>
      <c r="E106" s="3">
        <f>'02 Model'!K51-'02 Model'!K137</f>
        <v>36</v>
      </c>
      <c r="F106" s="3">
        <f>'02 Model'!J51-'02 Model'!J137</f>
        <v>36</v>
      </c>
      <c r="G106" s="49">
        <f t="shared" ref="G106:G137" si="6">E106-F106</f>
        <v>0</v>
      </c>
      <c r="H106" s="15">
        <v>0.1</v>
      </c>
      <c r="I106" s="3" t="str">
        <f t="shared" ref="I106:I137" si="7">IF(COUNT(E106:H106)&lt;4,"UNAVAILABLE",IF(ABS(G106)&lt;=H106,"PASS","FAIL"))</f>
        <v>PASS</v>
      </c>
      <c r="J106" s="17" t="s">
        <v>745</v>
      </c>
      <c r="K106" s="3"/>
      <c r="L106" s="3"/>
      <c r="M106" s="2"/>
      <c r="N106" s="2"/>
    </row>
    <row r="107" spans="1:14" ht="32" customHeight="1">
      <c r="A107" s="2"/>
      <c r="B107" s="2"/>
      <c r="C107" s="2" t="s">
        <v>746</v>
      </c>
      <c r="D107" s="3" t="s">
        <v>31</v>
      </c>
      <c r="E107" s="3">
        <f>'03 Schedules'!K159</f>
        <v>696</v>
      </c>
      <c r="F107" s="3">
        <f>'03 Schedules'!K197</f>
        <v>696</v>
      </c>
      <c r="G107" s="49">
        <f t="shared" si="6"/>
        <v>0</v>
      </c>
      <c r="H107" s="15">
        <v>0.1</v>
      </c>
      <c r="I107" s="3" t="str">
        <f t="shared" si="7"/>
        <v>PASS</v>
      </c>
      <c r="J107" s="17" t="s">
        <v>747</v>
      </c>
      <c r="K107" s="3"/>
      <c r="L107" s="3"/>
      <c r="M107" s="2"/>
      <c r="N107" s="2"/>
    </row>
    <row r="108" spans="1:14" ht="32" customHeight="1">
      <c r="A108" s="2"/>
      <c r="B108" s="2"/>
      <c r="C108" s="2" t="s">
        <v>748</v>
      </c>
      <c r="D108" s="3" t="s">
        <v>31</v>
      </c>
      <c r="E108" s="3">
        <f>'03 Schedules'!K159</f>
        <v>696</v>
      </c>
      <c r="F108" s="3">
        <f>-SUM('02 Model'!K57:'02 Model'!K58)-'02 Model'!K66</f>
        <v>696</v>
      </c>
      <c r="G108" s="49">
        <f t="shared" si="6"/>
        <v>0</v>
      </c>
      <c r="H108" s="15">
        <v>0.1</v>
      </c>
      <c r="I108" s="3" t="str">
        <f t="shared" si="7"/>
        <v>PASS</v>
      </c>
      <c r="J108" s="17" t="s">
        <v>749</v>
      </c>
      <c r="K108" s="3"/>
      <c r="L108" s="3"/>
      <c r="M108" s="2"/>
      <c r="N108" s="2"/>
    </row>
    <row r="109" spans="1:14" ht="32" customHeight="1">
      <c r="A109" s="2"/>
      <c r="B109" s="2"/>
      <c r="C109" s="2" t="s">
        <v>750</v>
      </c>
      <c r="D109" s="3" t="s">
        <v>31</v>
      </c>
      <c r="E109" s="3">
        <f>-'02 Model'!K27</f>
        <v>78.562440083350012</v>
      </c>
      <c r="F109" s="3">
        <f>'03 Schedules'!K171+'03 Schedules'!K172+'03 Schedules'!K173</f>
        <v>78.562440083350012</v>
      </c>
      <c r="G109" s="49">
        <f t="shared" si="6"/>
        <v>0</v>
      </c>
      <c r="H109" s="15">
        <v>0.1</v>
      </c>
      <c r="I109" s="3" t="str">
        <f t="shared" si="7"/>
        <v>PASS</v>
      </c>
      <c r="J109" s="17" t="s">
        <v>751</v>
      </c>
      <c r="K109" s="3"/>
      <c r="L109" s="3"/>
      <c r="M109" s="2"/>
      <c r="N109" s="2"/>
    </row>
    <row r="110" spans="1:14" ht="32" customHeight="1">
      <c r="A110" s="2"/>
      <c r="B110" s="2"/>
      <c r="C110" s="2" t="s">
        <v>752</v>
      </c>
      <c r="D110" s="3" t="s">
        <v>31</v>
      </c>
      <c r="E110" s="3">
        <f>-'02 Model'!K123</f>
        <v>78.562440083350012</v>
      </c>
      <c r="F110" s="3">
        <f>'03 Schedules'!K171+'03 Schedules'!K172</f>
        <v>78.562440083350012</v>
      </c>
      <c r="G110" s="49">
        <f t="shared" si="6"/>
        <v>0</v>
      </c>
      <c r="H110" s="15">
        <v>0.1</v>
      </c>
      <c r="I110" s="3" t="str">
        <f t="shared" si="7"/>
        <v>PASS</v>
      </c>
      <c r="J110" s="17" t="s">
        <v>753</v>
      </c>
      <c r="K110" s="3"/>
      <c r="L110" s="3"/>
      <c r="M110" s="2"/>
      <c r="N110" s="2"/>
    </row>
    <row r="111" spans="1:14" ht="32" customHeight="1">
      <c r="A111" s="2"/>
      <c r="B111" s="2"/>
      <c r="C111" s="2" t="s">
        <v>160</v>
      </c>
      <c r="D111" s="3" t="s">
        <v>31</v>
      </c>
      <c r="E111" s="3">
        <f>'02 Model'!K26</f>
        <v>5.2999999999999989</v>
      </c>
      <c r="F111" s="3">
        <f>'03 Schedules'!K168+'03 Schedules'!K169</f>
        <v>5.2999999999999989</v>
      </c>
      <c r="G111" s="49">
        <f t="shared" si="6"/>
        <v>0</v>
      </c>
      <c r="H111" s="15">
        <v>0.1</v>
      </c>
      <c r="I111" s="3" t="str">
        <f t="shared" si="7"/>
        <v>PASS</v>
      </c>
      <c r="J111" s="17" t="s">
        <v>754</v>
      </c>
      <c r="K111" s="3"/>
      <c r="L111" s="3"/>
      <c r="M111" s="2"/>
      <c r="N111" s="2"/>
    </row>
    <row r="112" spans="1:14" ht="32" customHeight="1">
      <c r="A112" s="2"/>
      <c r="B112" s="2"/>
      <c r="C112" s="2" t="s">
        <v>755</v>
      </c>
      <c r="D112" s="3" t="s">
        <v>31</v>
      </c>
      <c r="E112" s="3">
        <f>-('02 Model'!K60+'02 Model'!K68)</f>
        <v>867.51124175035011</v>
      </c>
      <c r="F112" s="3">
        <f>'03 Schedules'!K76+'03 Schedules'!K77+'03 Schedules'!K78+'03 Schedules'!K79+'03 Schedules'!K80+'03 Schedules'!K82+'03 Schedules'!K83+'03 Schedules'!K84</f>
        <v>867.51124175035011</v>
      </c>
      <c r="G112" s="49">
        <f t="shared" si="6"/>
        <v>0</v>
      </c>
      <c r="H112" s="15">
        <v>0.1</v>
      </c>
      <c r="I112" s="3" t="str">
        <f t="shared" si="7"/>
        <v>PASS</v>
      </c>
      <c r="J112" s="17" t="s">
        <v>756</v>
      </c>
      <c r="K112" s="3"/>
      <c r="L112" s="3"/>
      <c r="M112" s="2"/>
      <c r="N112" s="2"/>
    </row>
    <row r="113" spans="1:14" ht="32" customHeight="1">
      <c r="A113" s="2"/>
      <c r="B113" s="2"/>
      <c r="C113" s="2" t="s">
        <v>757</v>
      </c>
      <c r="D113" s="3" t="s">
        <v>31</v>
      </c>
      <c r="E113" s="3">
        <f>'03 Schedules'!K85</f>
        <v>867.51124175035011</v>
      </c>
      <c r="F113" s="3">
        <f>'03 Schedules'!K87+'03 Schedules'!K88</f>
        <v>867.51124175035011</v>
      </c>
      <c r="G113" s="49">
        <f t="shared" si="6"/>
        <v>0</v>
      </c>
      <c r="H113" s="15">
        <v>0.1</v>
      </c>
      <c r="I113" s="3" t="str">
        <f t="shared" si="7"/>
        <v>PASS</v>
      </c>
      <c r="J113" s="17" t="s">
        <v>758</v>
      </c>
      <c r="K113" s="3"/>
      <c r="L113" s="3"/>
      <c r="M113" s="2"/>
      <c r="N113" s="2"/>
    </row>
    <row r="114" spans="1:14" ht="32" customHeight="1">
      <c r="A114" s="2"/>
      <c r="B114" s="2"/>
      <c r="C114" s="2" t="s">
        <v>759</v>
      </c>
      <c r="D114" s="3" t="s">
        <v>31</v>
      </c>
      <c r="E114" s="3">
        <f>'02 Model'!K37</f>
        <v>1004.7</v>
      </c>
      <c r="F114" s="3">
        <f>SUM('03 Schedules'!K19:K22)</f>
        <v>1004.7</v>
      </c>
      <c r="G114" s="49">
        <f t="shared" si="6"/>
        <v>0</v>
      </c>
      <c r="H114" s="15">
        <v>0.1</v>
      </c>
      <c r="I114" s="3" t="str">
        <f t="shared" si="7"/>
        <v>PASS</v>
      </c>
      <c r="J114" s="17" t="s">
        <v>760</v>
      </c>
      <c r="K114" s="3"/>
      <c r="L114" s="3"/>
      <c r="M114" s="2"/>
      <c r="N114" s="2"/>
    </row>
    <row r="115" spans="1:14" ht="32" customHeight="1">
      <c r="A115" s="2"/>
      <c r="B115" s="2"/>
      <c r="C115" s="2" t="s">
        <v>761</v>
      </c>
      <c r="D115" s="3" t="s">
        <v>31</v>
      </c>
      <c r="E115" s="3">
        <f>'02 Model'!K38</f>
        <v>594.70000000000005</v>
      </c>
      <c r="F115" s="3">
        <f>SUM('03 Schedules'!K40:K43)</f>
        <v>594.70000000000005</v>
      </c>
      <c r="G115" s="49">
        <f t="shared" si="6"/>
        <v>0</v>
      </c>
      <c r="H115" s="15">
        <v>0.1</v>
      </c>
      <c r="I115" s="3" t="str">
        <f t="shared" si="7"/>
        <v>PASS</v>
      </c>
      <c r="J115" s="17" t="s">
        <v>760</v>
      </c>
      <c r="K115" s="3"/>
      <c r="L115" s="3"/>
      <c r="M115" s="2"/>
      <c r="N115" s="2"/>
    </row>
    <row r="116" spans="1:14" ht="32" customHeight="1">
      <c r="A116" s="2"/>
      <c r="B116" s="2"/>
      <c r="C116" s="2" t="s">
        <v>762</v>
      </c>
      <c r="D116" s="3" t="s">
        <v>31</v>
      </c>
      <c r="E116" s="3">
        <f>'02 Model'!K39</f>
        <v>695.1</v>
      </c>
      <c r="F116" s="3">
        <f>SUM('03 Schedules'!K68:K73)</f>
        <v>695.1</v>
      </c>
      <c r="G116" s="49">
        <f t="shared" si="6"/>
        <v>0</v>
      </c>
      <c r="H116" s="15">
        <v>0.1</v>
      </c>
      <c r="I116" s="3" t="str">
        <f t="shared" si="7"/>
        <v>PASS</v>
      </c>
      <c r="J116" s="17" t="s">
        <v>760</v>
      </c>
      <c r="K116" s="3"/>
      <c r="L116" s="3"/>
      <c r="M116" s="2"/>
      <c r="N116" s="2"/>
    </row>
    <row r="117" spans="1:14" ht="32" customHeight="1">
      <c r="A117" s="2"/>
      <c r="B117" s="2"/>
      <c r="C117" s="2" t="s">
        <v>763</v>
      </c>
      <c r="D117" s="3" t="s">
        <v>31</v>
      </c>
      <c r="E117" s="3">
        <f>'02 Model'!K40</f>
        <v>70.2</v>
      </c>
      <c r="F117" s="3">
        <f>SUM('03 Schedules'!K46:K49)</f>
        <v>70.2</v>
      </c>
      <c r="G117" s="49">
        <f t="shared" si="6"/>
        <v>0</v>
      </c>
      <c r="H117" s="15">
        <v>0.1</v>
      </c>
      <c r="I117" s="3" t="str">
        <f t="shared" si="7"/>
        <v>PASS</v>
      </c>
      <c r="J117" s="17" t="s">
        <v>760</v>
      </c>
      <c r="K117" s="3"/>
      <c r="L117" s="3"/>
      <c r="M117" s="2"/>
      <c r="N117" s="2"/>
    </row>
    <row r="118" spans="1:14" ht="32" customHeight="1">
      <c r="A118" s="2"/>
      <c r="B118" s="2"/>
      <c r="C118" s="2" t="s">
        <v>764</v>
      </c>
      <c r="D118" s="3" t="s">
        <v>31</v>
      </c>
      <c r="E118" s="3">
        <f>'03 Schedules'!K357</f>
        <v>-107.82268156145801</v>
      </c>
      <c r="F118" s="3">
        <f>-('02 Model'!K46-'02 Model'!J46)-('02 Model'!K48-'02 Model'!J48)</f>
        <v>-107.82268156145801</v>
      </c>
      <c r="G118" s="49">
        <f t="shared" si="6"/>
        <v>0</v>
      </c>
      <c r="H118" s="15">
        <v>0.1</v>
      </c>
      <c r="I118" s="3" t="str">
        <f t="shared" si="7"/>
        <v>PASS</v>
      </c>
      <c r="J118" s="17" t="s">
        <v>765</v>
      </c>
      <c r="K118" s="3"/>
      <c r="L118" s="3"/>
      <c r="M118" s="2"/>
      <c r="N118" s="2"/>
    </row>
    <row r="119" spans="1:14" ht="32" customHeight="1">
      <c r="A119" s="2"/>
      <c r="B119" s="2"/>
      <c r="C119" s="2" t="s">
        <v>766</v>
      </c>
      <c r="D119" s="3" t="s">
        <v>31</v>
      </c>
      <c r="E119" s="3">
        <f>'03 Schedules'!K358</f>
        <v>-44.580437180364925</v>
      </c>
      <c r="F119" s="3">
        <f>'02 Model'!J47-'02 Model'!K47</f>
        <v>-44.580437180364925</v>
      </c>
      <c r="G119" s="49">
        <f t="shared" si="6"/>
        <v>0</v>
      </c>
      <c r="H119" s="15">
        <v>0.1</v>
      </c>
      <c r="I119" s="3" t="str">
        <f t="shared" si="7"/>
        <v>PASS</v>
      </c>
      <c r="J119" s="17" t="s">
        <v>767</v>
      </c>
      <c r="K119" s="3"/>
      <c r="L119" s="3"/>
      <c r="M119" s="2"/>
      <c r="N119" s="2"/>
    </row>
    <row r="120" spans="1:14" ht="32" customHeight="1">
      <c r="A120" s="2"/>
      <c r="B120" s="2"/>
      <c r="C120" s="2" t="s">
        <v>768</v>
      </c>
      <c r="D120" s="3" t="s">
        <v>31</v>
      </c>
      <c r="E120" s="3">
        <f>'03 Schedules'!K359</f>
        <v>38.533536721908376</v>
      </c>
      <c r="F120" s="3">
        <f>'02 Model'!J59-'02 Model'!K59</f>
        <v>38.533536721908376</v>
      </c>
      <c r="G120" s="49">
        <f t="shared" si="6"/>
        <v>0</v>
      </c>
      <c r="H120" s="15">
        <v>0.1</v>
      </c>
      <c r="I120" s="3" t="str">
        <f t="shared" si="7"/>
        <v>PASS</v>
      </c>
      <c r="J120" s="17" t="s">
        <v>769</v>
      </c>
      <c r="K120" s="3"/>
      <c r="L120" s="3"/>
      <c r="M120" s="2"/>
      <c r="N120" s="2"/>
    </row>
    <row r="121" spans="1:14" ht="32" customHeight="1">
      <c r="A121" s="2"/>
      <c r="B121" s="2"/>
      <c r="C121" s="2" t="s">
        <v>770</v>
      </c>
      <c r="D121" s="3" t="s">
        <v>31</v>
      </c>
      <c r="E121" s="3">
        <f>'02 Model'!K47</f>
        <v>1781.537420787665</v>
      </c>
      <c r="F121" s="3">
        <f>SUM('03 Schedules'!K113:K117)</f>
        <v>1781.537420787665</v>
      </c>
      <c r="G121" s="49">
        <f t="shared" si="6"/>
        <v>0</v>
      </c>
      <c r="H121" s="15">
        <v>0.1</v>
      </c>
      <c r="I121" s="3" t="str">
        <f t="shared" si="7"/>
        <v>PASS</v>
      </c>
      <c r="J121" s="17" t="s">
        <v>771</v>
      </c>
      <c r="K121" s="3"/>
      <c r="L121" s="3"/>
      <c r="M121" s="2"/>
      <c r="N121" s="2"/>
    </row>
    <row r="122" spans="1:14" ht="32" customHeight="1">
      <c r="A122" s="2"/>
      <c r="B122" s="2"/>
      <c r="C122" s="2" t="s">
        <v>772</v>
      </c>
      <c r="D122" s="3" t="s">
        <v>31</v>
      </c>
      <c r="E122" s="3">
        <f>-'02 Model'!K59</f>
        <v>1403.0834891181146</v>
      </c>
      <c r="F122" s="3">
        <f>SUM('03 Schedules'!K123:K129)</f>
        <v>1403.0834891181146</v>
      </c>
      <c r="G122" s="49">
        <f t="shared" si="6"/>
        <v>0</v>
      </c>
      <c r="H122" s="15">
        <v>0.1</v>
      </c>
      <c r="I122" s="3" t="str">
        <f t="shared" si="7"/>
        <v>PASS</v>
      </c>
      <c r="J122" s="17" t="s">
        <v>773</v>
      </c>
      <c r="K122" s="3"/>
      <c r="L122" s="3"/>
      <c r="M122" s="2"/>
      <c r="N122" s="2"/>
    </row>
    <row r="123" spans="1:14" ht="32" customHeight="1">
      <c r="A123" s="2"/>
      <c r="B123" s="2"/>
      <c r="C123" s="2" t="s">
        <v>774</v>
      </c>
      <c r="D123" s="3" t="s">
        <v>31</v>
      </c>
      <c r="E123" s="3">
        <f>'02 Model'!K86</f>
        <v>4119.2733666090726</v>
      </c>
      <c r="F123" s="3">
        <f>SUM('03 Schedules'!K241:K252)</f>
        <v>4119.2733666090726</v>
      </c>
      <c r="G123" s="49">
        <f t="shared" si="6"/>
        <v>0</v>
      </c>
      <c r="H123" s="15">
        <v>0.1</v>
      </c>
      <c r="I123" s="3" t="str">
        <f t="shared" si="7"/>
        <v>PASS</v>
      </c>
      <c r="J123" s="17" t="s">
        <v>775</v>
      </c>
      <c r="K123" s="3"/>
      <c r="L123" s="3"/>
      <c r="M123" s="2"/>
      <c r="N123" s="2"/>
    </row>
    <row r="124" spans="1:14" ht="32" customHeight="1">
      <c r="A124" s="2"/>
      <c r="B124" s="2"/>
      <c r="C124" s="2" t="s">
        <v>776</v>
      </c>
      <c r="D124" s="3" t="s">
        <v>31</v>
      </c>
      <c r="E124" s="3">
        <f>'02 Model'!K30</f>
        <v>1128.2579075442729</v>
      </c>
      <c r="F124" s="3">
        <f>'03 Schedules'!K242+('02 Model'!K30*'03 Schedules'!K210)</f>
        <v>1128.2579075442727</v>
      </c>
      <c r="G124" s="49">
        <f t="shared" si="6"/>
        <v>0</v>
      </c>
      <c r="H124" s="15">
        <v>0.1</v>
      </c>
      <c r="I124" s="3" t="str">
        <f t="shared" si="7"/>
        <v>PASS</v>
      </c>
      <c r="J124" s="17" t="s">
        <v>777</v>
      </c>
      <c r="K124" s="3"/>
      <c r="L124" s="3"/>
      <c r="M124" s="2"/>
      <c r="N124" s="2"/>
    </row>
    <row r="125" spans="1:14" ht="32" customHeight="1">
      <c r="A125" s="2"/>
      <c r="B125" s="2"/>
      <c r="C125" s="2" t="s">
        <v>778</v>
      </c>
      <c r="D125" s="3" t="s">
        <v>31</v>
      </c>
      <c r="E125" s="3">
        <f>'02 Model'!K88</f>
        <v>130.37588892320119</v>
      </c>
      <c r="F125" s="3">
        <f>'02 Model'!J88+'02 Model'!K30-'03 Schedules'!K242+'02 Model'!K130</f>
        <v>130.37588892320107</v>
      </c>
      <c r="G125" s="49">
        <f t="shared" si="6"/>
        <v>0</v>
      </c>
      <c r="H125" s="15">
        <v>0.1</v>
      </c>
      <c r="I125" s="3" t="str">
        <f t="shared" si="7"/>
        <v>PASS</v>
      </c>
      <c r="J125" s="17" t="s">
        <v>779</v>
      </c>
      <c r="K125" s="3"/>
      <c r="L125" s="3"/>
      <c r="M125" s="2"/>
      <c r="N125" s="2"/>
    </row>
    <row r="126" spans="1:14" ht="32" customHeight="1">
      <c r="A126" s="2"/>
      <c r="B126" s="2"/>
      <c r="C126" s="2" t="s">
        <v>780</v>
      </c>
      <c r="D126" s="3" t="s">
        <v>31</v>
      </c>
      <c r="E126" s="3">
        <f>-'02 Model'!K102-'02 Model'!K106</f>
        <v>289</v>
      </c>
      <c r="F126" s="3">
        <f>'01 Assumptions'!K24</f>
        <v>289</v>
      </c>
      <c r="G126" s="49">
        <f t="shared" si="6"/>
        <v>0</v>
      </c>
      <c r="H126" s="15">
        <v>0.1</v>
      </c>
      <c r="I126" s="3" t="str">
        <f t="shared" si="7"/>
        <v>PASS</v>
      </c>
      <c r="J126" s="17" t="s">
        <v>781</v>
      </c>
      <c r="K126" s="3"/>
      <c r="L126" s="3"/>
      <c r="M126" s="2"/>
      <c r="N126" s="2"/>
    </row>
    <row r="127" spans="1:14" ht="32" customHeight="1">
      <c r="A127" s="2"/>
      <c r="B127" s="2"/>
      <c r="C127" s="2" t="s">
        <v>782</v>
      </c>
      <c r="D127" s="3" t="s">
        <v>31</v>
      </c>
      <c r="E127" s="3">
        <f>'02 Model'!K129</f>
        <v>-396.1</v>
      </c>
      <c r="F127" s="3">
        <f>'03 Schedules'!K249</f>
        <v>-396.1</v>
      </c>
      <c r="G127" s="49">
        <f t="shared" si="6"/>
        <v>0</v>
      </c>
      <c r="H127" s="15">
        <v>0.1</v>
      </c>
      <c r="I127" s="3" t="str">
        <f t="shared" si="7"/>
        <v>PASS</v>
      </c>
      <c r="J127" s="17" t="s">
        <v>783</v>
      </c>
      <c r="K127" s="3"/>
      <c r="L127" s="3"/>
      <c r="M127" s="2"/>
      <c r="N127" s="2"/>
    </row>
    <row r="128" spans="1:14" ht="32" customHeight="1">
      <c r="A128" s="2"/>
      <c r="B128" s="2"/>
      <c r="C128" s="2" t="s">
        <v>784</v>
      </c>
      <c r="D128" s="3" t="s">
        <v>31</v>
      </c>
      <c r="E128" s="3">
        <f>'02 Model'!K114</f>
        <v>-493.36317971961751</v>
      </c>
      <c r="F128" s="3">
        <f>'03 Schedules'!K244</f>
        <v>-493.36317971961751</v>
      </c>
      <c r="G128" s="49">
        <f t="shared" si="6"/>
        <v>0</v>
      </c>
      <c r="H128" s="15">
        <v>0.1</v>
      </c>
      <c r="I128" s="3" t="str">
        <f t="shared" si="7"/>
        <v>PASS</v>
      </c>
      <c r="J128" s="17" t="s">
        <v>785</v>
      </c>
      <c r="K128" s="3"/>
      <c r="L128" s="3"/>
      <c r="M128" s="2"/>
      <c r="N128" s="2"/>
    </row>
    <row r="129" spans="1:14" ht="32" customHeight="1">
      <c r="A129" s="2"/>
      <c r="B129" s="2"/>
      <c r="C129" s="2" t="s">
        <v>786</v>
      </c>
      <c r="D129" s="3" t="s">
        <v>31</v>
      </c>
      <c r="E129" s="3">
        <f>SUM('02 Model'!K50,'02 Model'!K62,'02 Model'!K71)</f>
        <v>-75.882254583333179</v>
      </c>
      <c r="F129" s="3">
        <f>SUM('02 Model'!J50,'02 Model'!J62,'02 Model'!J71)+'02 Model'!K29-'02 Model'!K98+'03 Schedules'!K248</f>
        <v>-75.882254583333179</v>
      </c>
      <c r="G129" s="49">
        <f t="shared" si="6"/>
        <v>0</v>
      </c>
      <c r="H129" s="15">
        <v>0.1</v>
      </c>
      <c r="I129" s="3" t="str">
        <f t="shared" si="7"/>
        <v>PASS</v>
      </c>
      <c r="J129" s="17" t="s">
        <v>787</v>
      </c>
      <c r="K129" s="3"/>
      <c r="L129" s="3"/>
      <c r="M129" s="2"/>
      <c r="N129" s="2"/>
    </row>
    <row r="130" spans="1:14" ht="32" customHeight="1">
      <c r="A130" s="2"/>
      <c r="B130" s="2"/>
      <c r="C130" s="2" t="s">
        <v>788</v>
      </c>
      <c r="D130" s="3" t="s">
        <v>31</v>
      </c>
      <c r="E130" s="3">
        <f>-'02 Model'!K114-'02 Model'!K128</f>
        <v>493.36317971961751</v>
      </c>
      <c r="F130" s="3">
        <f>'03 Schedules'!K319</f>
        <v>493.36317971961751</v>
      </c>
      <c r="G130" s="49">
        <f t="shared" si="6"/>
        <v>0</v>
      </c>
      <c r="H130" s="15">
        <v>0.1</v>
      </c>
      <c r="I130" s="3" t="str">
        <f t="shared" si="7"/>
        <v>PASS</v>
      </c>
      <c r="J130" s="17" t="s">
        <v>789</v>
      </c>
      <c r="K130" s="3"/>
      <c r="L130" s="3"/>
      <c r="M130" s="2"/>
      <c r="N130" s="2"/>
    </row>
    <row r="131" spans="1:14" ht="32" customHeight="1">
      <c r="A131" s="2"/>
      <c r="B131" s="2"/>
      <c r="C131" s="2" t="s">
        <v>790</v>
      </c>
      <c r="D131" s="3" t="s">
        <v>31</v>
      </c>
      <c r="E131" s="3">
        <f>'03 Schedules'!K159</f>
        <v>696</v>
      </c>
      <c r="F131" s="3">
        <f>'03 Schedules'!K187</f>
        <v>696</v>
      </c>
      <c r="G131" s="49">
        <f t="shared" si="6"/>
        <v>0</v>
      </c>
      <c r="H131" s="15">
        <v>0.1</v>
      </c>
      <c r="I131" s="3" t="str">
        <f t="shared" si="7"/>
        <v>PASS</v>
      </c>
      <c r="J131" s="17" t="s">
        <v>791</v>
      </c>
      <c r="K131" s="3"/>
      <c r="L131" s="3"/>
      <c r="M131" s="2"/>
      <c r="N131" s="2"/>
    </row>
    <row r="132" spans="1:14" ht="32" customHeight="1">
      <c r="A132" s="2"/>
      <c r="B132" s="2"/>
      <c r="C132" s="2" t="s">
        <v>792</v>
      </c>
      <c r="D132" s="3" t="s">
        <v>31</v>
      </c>
      <c r="E132" s="3">
        <f>'03 Schedules'!K69</f>
        <v>135</v>
      </c>
      <c r="F132" s="3">
        <f>'03 Schedules'!K77</f>
        <v>135</v>
      </c>
      <c r="G132" s="49">
        <f t="shared" si="6"/>
        <v>0</v>
      </c>
      <c r="H132" s="15">
        <v>0.1</v>
      </c>
      <c r="I132" s="3" t="str">
        <f t="shared" si="7"/>
        <v>PASS</v>
      </c>
      <c r="J132" s="17" t="s">
        <v>793</v>
      </c>
      <c r="K132" s="3"/>
      <c r="L132" s="3"/>
      <c r="M132" s="2"/>
      <c r="N132" s="2"/>
    </row>
    <row r="133" spans="1:14" ht="32" customHeight="1">
      <c r="A133" s="2"/>
      <c r="B133" s="2"/>
      <c r="C133" s="2" t="s">
        <v>744</v>
      </c>
      <c r="D133" s="3" t="s">
        <v>32</v>
      </c>
      <c r="E133" s="3">
        <f>'02 Model'!L51-'02 Model'!L137</f>
        <v>36</v>
      </c>
      <c r="F133" s="3">
        <f>'02 Model'!K51-'02 Model'!K137</f>
        <v>36</v>
      </c>
      <c r="G133" s="49">
        <f t="shared" si="6"/>
        <v>0</v>
      </c>
      <c r="H133" s="15">
        <v>0.1</v>
      </c>
      <c r="I133" s="3" t="str">
        <f t="shared" si="7"/>
        <v>PASS</v>
      </c>
      <c r="J133" s="17" t="s">
        <v>745</v>
      </c>
      <c r="K133" s="3"/>
      <c r="L133" s="3"/>
      <c r="M133" s="2"/>
      <c r="N133" s="2"/>
    </row>
    <row r="134" spans="1:14" ht="32" customHeight="1">
      <c r="A134" s="2"/>
      <c r="B134" s="2"/>
      <c r="C134" s="2" t="s">
        <v>746</v>
      </c>
      <c r="D134" s="3" t="s">
        <v>32</v>
      </c>
      <c r="E134" s="3">
        <f>'03 Schedules'!L159</f>
        <v>696</v>
      </c>
      <c r="F134" s="3">
        <f>'03 Schedules'!L197</f>
        <v>696</v>
      </c>
      <c r="G134" s="49">
        <f t="shared" si="6"/>
        <v>0</v>
      </c>
      <c r="H134" s="15">
        <v>0.1</v>
      </c>
      <c r="I134" s="3" t="str">
        <f t="shared" si="7"/>
        <v>PASS</v>
      </c>
      <c r="J134" s="17" t="s">
        <v>747</v>
      </c>
      <c r="K134" s="3"/>
      <c r="L134" s="3"/>
      <c r="M134" s="2"/>
      <c r="N134" s="2"/>
    </row>
    <row r="135" spans="1:14" ht="32" customHeight="1">
      <c r="A135" s="2"/>
      <c r="B135" s="2"/>
      <c r="C135" s="2" t="s">
        <v>748</v>
      </c>
      <c r="D135" s="3" t="s">
        <v>32</v>
      </c>
      <c r="E135" s="3">
        <f>'03 Schedules'!L159</f>
        <v>696</v>
      </c>
      <c r="F135" s="3">
        <f>-SUM('02 Model'!L57:'02 Model'!L58)-'02 Model'!L66</f>
        <v>696</v>
      </c>
      <c r="G135" s="49">
        <f t="shared" si="6"/>
        <v>0</v>
      </c>
      <c r="H135" s="15">
        <v>0.1</v>
      </c>
      <c r="I135" s="3" t="str">
        <f t="shared" si="7"/>
        <v>PASS</v>
      </c>
      <c r="J135" s="17" t="s">
        <v>749</v>
      </c>
      <c r="K135" s="3"/>
      <c r="L135" s="3"/>
      <c r="M135" s="2"/>
      <c r="N135" s="2"/>
    </row>
    <row r="136" spans="1:14" ht="32" customHeight="1">
      <c r="A136" s="2"/>
      <c r="B136" s="2"/>
      <c r="C136" s="2" t="s">
        <v>750</v>
      </c>
      <c r="D136" s="3" t="s">
        <v>32</v>
      </c>
      <c r="E136" s="3">
        <f>-'02 Model'!L27</f>
        <v>76.675562087517505</v>
      </c>
      <c r="F136" s="3">
        <f>'03 Schedules'!L171+'03 Schedules'!L172+'03 Schedules'!L173</f>
        <v>76.675562087517505</v>
      </c>
      <c r="G136" s="49">
        <f t="shared" si="6"/>
        <v>0</v>
      </c>
      <c r="H136" s="15">
        <v>0.1</v>
      </c>
      <c r="I136" s="3" t="str">
        <f t="shared" si="7"/>
        <v>PASS</v>
      </c>
      <c r="J136" s="17" t="s">
        <v>751</v>
      </c>
      <c r="K136" s="3"/>
      <c r="L136" s="3"/>
      <c r="M136" s="2"/>
      <c r="N136" s="2"/>
    </row>
    <row r="137" spans="1:14" ht="32" customHeight="1">
      <c r="A137" s="2"/>
      <c r="B137" s="2"/>
      <c r="C137" s="2" t="s">
        <v>752</v>
      </c>
      <c r="D137" s="3" t="s">
        <v>32</v>
      </c>
      <c r="E137" s="3">
        <f>-'02 Model'!L123</f>
        <v>76.675562087517505</v>
      </c>
      <c r="F137" s="3">
        <f>'03 Schedules'!L171+'03 Schedules'!L172</f>
        <v>76.675562087517505</v>
      </c>
      <c r="G137" s="49">
        <f t="shared" si="6"/>
        <v>0</v>
      </c>
      <c r="H137" s="15">
        <v>0.1</v>
      </c>
      <c r="I137" s="3" t="str">
        <f t="shared" si="7"/>
        <v>PASS</v>
      </c>
      <c r="J137" s="17" t="s">
        <v>753</v>
      </c>
      <c r="K137" s="3"/>
      <c r="L137" s="3"/>
      <c r="M137" s="2"/>
      <c r="N137" s="2"/>
    </row>
    <row r="138" spans="1:14" ht="32" customHeight="1">
      <c r="A138" s="2"/>
      <c r="B138" s="2"/>
      <c r="C138" s="2" t="s">
        <v>160</v>
      </c>
      <c r="D138" s="3" t="s">
        <v>32</v>
      </c>
      <c r="E138" s="3">
        <f>'02 Model'!L26</f>
        <v>5.3999999999999986</v>
      </c>
      <c r="F138" s="3">
        <f>'03 Schedules'!L168+'03 Schedules'!L169</f>
        <v>5.3999999999999986</v>
      </c>
      <c r="G138" s="49">
        <f t="shared" ref="G138:G159" si="8">E138-F138</f>
        <v>0</v>
      </c>
      <c r="H138" s="15">
        <v>0.1</v>
      </c>
      <c r="I138" s="3" t="str">
        <f t="shared" ref="I138:I159" si="9">IF(COUNT(E138:H138)&lt;4,"UNAVAILABLE",IF(ABS(G138)&lt;=H138,"PASS","FAIL"))</f>
        <v>PASS</v>
      </c>
      <c r="J138" s="17" t="s">
        <v>754</v>
      </c>
      <c r="K138" s="3"/>
      <c r="L138" s="3"/>
      <c r="M138" s="2"/>
      <c r="N138" s="2"/>
    </row>
    <row r="139" spans="1:14" ht="32" customHeight="1">
      <c r="A139" s="2"/>
      <c r="B139" s="2"/>
      <c r="C139" s="2" t="s">
        <v>755</v>
      </c>
      <c r="D139" s="3" t="s">
        <v>32</v>
      </c>
      <c r="E139" s="3">
        <f>-('02 Model'!L60+'02 Model'!L68)</f>
        <v>827.88680383786755</v>
      </c>
      <c r="F139" s="3">
        <f>'03 Schedules'!L76+'03 Schedules'!L77+'03 Schedules'!L78+'03 Schedules'!L79+'03 Schedules'!L80+'03 Schedules'!L82+'03 Schedules'!L83+'03 Schedules'!L84</f>
        <v>827.88680383786755</v>
      </c>
      <c r="G139" s="49">
        <f t="shared" si="8"/>
        <v>0</v>
      </c>
      <c r="H139" s="15">
        <v>0.1</v>
      </c>
      <c r="I139" s="3" t="str">
        <f t="shared" si="9"/>
        <v>PASS</v>
      </c>
      <c r="J139" s="17" t="s">
        <v>756</v>
      </c>
      <c r="K139" s="3"/>
      <c r="L139" s="3"/>
      <c r="M139" s="2"/>
      <c r="N139" s="2"/>
    </row>
    <row r="140" spans="1:14" ht="32" customHeight="1">
      <c r="A140" s="2"/>
      <c r="B140" s="2"/>
      <c r="C140" s="2" t="s">
        <v>757</v>
      </c>
      <c r="D140" s="3" t="s">
        <v>32</v>
      </c>
      <c r="E140" s="3">
        <f>'03 Schedules'!L85</f>
        <v>827.88680383786755</v>
      </c>
      <c r="F140" s="3">
        <f>'03 Schedules'!L87+'03 Schedules'!L88</f>
        <v>827.88680383786755</v>
      </c>
      <c r="G140" s="49">
        <f t="shared" si="8"/>
        <v>0</v>
      </c>
      <c r="H140" s="15">
        <v>0.1</v>
      </c>
      <c r="I140" s="3" t="str">
        <f t="shared" si="9"/>
        <v>PASS</v>
      </c>
      <c r="J140" s="17" t="s">
        <v>758</v>
      </c>
      <c r="K140" s="3"/>
      <c r="L140" s="3"/>
      <c r="M140" s="2"/>
      <c r="N140" s="2"/>
    </row>
    <row r="141" spans="1:14" ht="32" customHeight="1">
      <c r="A141" s="2"/>
      <c r="B141" s="2"/>
      <c r="C141" s="2" t="s">
        <v>759</v>
      </c>
      <c r="D141" s="3" t="s">
        <v>32</v>
      </c>
      <c r="E141" s="3">
        <f>'02 Model'!L37</f>
        <v>1102.7</v>
      </c>
      <c r="F141" s="3">
        <f>SUM('03 Schedules'!L19:L22)</f>
        <v>1102.7</v>
      </c>
      <c r="G141" s="49">
        <f t="shared" si="8"/>
        <v>0</v>
      </c>
      <c r="H141" s="15">
        <v>0.1</v>
      </c>
      <c r="I141" s="3" t="str">
        <f t="shared" si="9"/>
        <v>PASS</v>
      </c>
      <c r="J141" s="17" t="s">
        <v>760</v>
      </c>
      <c r="K141" s="3"/>
      <c r="L141" s="3"/>
      <c r="M141" s="2"/>
      <c r="N141" s="2"/>
    </row>
    <row r="142" spans="1:14" ht="32" customHeight="1">
      <c r="A142" s="2"/>
      <c r="B142" s="2"/>
      <c r="C142" s="2" t="s">
        <v>761</v>
      </c>
      <c r="D142" s="3" t="s">
        <v>32</v>
      </c>
      <c r="E142" s="3">
        <f>'02 Model'!L38</f>
        <v>560.70000000000005</v>
      </c>
      <c r="F142" s="3">
        <f>SUM('03 Schedules'!L40:L43)</f>
        <v>560.70000000000005</v>
      </c>
      <c r="G142" s="49">
        <f t="shared" si="8"/>
        <v>0</v>
      </c>
      <c r="H142" s="15">
        <v>0.1</v>
      </c>
      <c r="I142" s="3" t="str">
        <f t="shared" si="9"/>
        <v>PASS</v>
      </c>
      <c r="J142" s="17" t="s">
        <v>760</v>
      </c>
      <c r="K142" s="3"/>
      <c r="L142" s="3"/>
      <c r="M142" s="2"/>
      <c r="N142" s="2"/>
    </row>
    <row r="143" spans="1:14" ht="32" customHeight="1">
      <c r="A143" s="2"/>
      <c r="B143" s="2"/>
      <c r="C143" s="2" t="s">
        <v>762</v>
      </c>
      <c r="D143" s="3" t="s">
        <v>32</v>
      </c>
      <c r="E143" s="3">
        <f>'02 Model'!L39</f>
        <v>693.1</v>
      </c>
      <c r="F143" s="3">
        <f>SUM('03 Schedules'!L68:L73)</f>
        <v>693.1</v>
      </c>
      <c r="G143" s="49">
        <f t="shared" si="8"/>
        <v>0</v>
      </c>
      <c r="H143" s="15">
        <v>0.1</v>
      </c>
      <c r="I143" s="3" t="str">
        <f t="shared" si="9"/>
        <v>PASS</v>
      </c>
      <c r="J143" s="17" t="s">
        <v>760</v>
      </c>
      <c r="K143" s="3"/>
      <c r="L143" s="3"/>
      <c r="M143" s="2"/>
      <c r="N143" s="2"/>
    </row>
    <row r="144" spans="1:14" ht="32" customHeight="1">
      <c r="A144" s="2"/>
      <c r="B144" s="2"/>
      <c r="C144" s="2" t="s">
        <v>763</v>
      </c>
      <c r="D144" s="3" t="s">
        <v>32</v>
      </c>
      <c r="E144" s="3">
        <f>'02 Model'!L40</f>
        <v>80.2</v>
      </c>
      <c r="F144" s="3">
        <f>SUM('03 Schedules'!L46:L49)</f>
        <v>80.2</v>
      </c>
      <c r="G144" s="49">
        <f t="shared" si="8"/>
        <v>0</v>
      </c>
      <c r="H144" s="15">
        <v>0.1</v>
      </c>
      <c r="I144" s="3" t="str">
        <f t="shared" si="9"/>
        <v>PASS</v>
      </c>
      <c r="J144" s="17" t="s">
        <v>760</v>
      </c>
      <c r="K144" s="3"/>
      <c r="L144" s="3"/>
      <c r="M144" s="2"/>
      <c r="N144" s="2"/>
    </row>
    <row r="145" spans="1:14" ht="32" customHeight="1">
      <c r="A145" s="2"/>
      <c r="B145" s="2"/>
      <c r="C145" s="2" t="s">
        <v>764</v>
      </c>
      <c r="D145" s="3" t="s">
        <v>32</v>
      </c>
      <c r="E145" s="3">
        <f>'03 Schedules'!L357</f>
        <v>2.511708414047007</v>
      </c>
      <c r="F145" s="3">
        <f>-('02 Model'!L46-'02 Model'!K46)-('02 Model'!L48-'02 Model'!K48)</f>
        <v>2.511708414047007</v>
      </c>
      <c r="G145" s="49">
        <f t="shared" si="8"/>
        <v>0</v>
      </c>
      <c r="H145" s="15">
        <v>0.1</v>
      </c>
      <c r="I145" s="3" t="str">
        <f t="shared" si="9"/>
        <v>PASS</v>
      </c>
      <c r="J145" s="17" t="s">
        <v>765</v>
      </c>
      <c r="K145" s="3"/>
      <c r="L145" s="3"/>
      <c r="M145" s="2"/>
      <c r="N145" s="2"/>
    </row>
    <row r="146" spans="1:14" ht="32" customHeight="1">
      <c r="A146" s="2"/>
      <c r="B146" s="2"/>
      <c r="C146" s="2" t="s">
        <v>766</v>
      </c>
      <c r="D146" s="3" t="s">
        <v>32</v>
      </c>
      <c r="E146" s="3">
        <f>'03 Schedules'!L358</f>
        <v>-43.896883735445044</v>
      </c>
      <c r="F146" s="3">
        <f>'02 Model'!K47-'02 Model'!L47</f>
        <v>-43.896883735445044</v>
      </c>
      <c r="G146" s="49">
        <f t="shared" si="8"/>
        <v>0</v>
      </c>
      <c r="H146" s="15">
        <v>0.1</v>
      </c>
      <c r="I146" s="3" t="str">
        <f t="shared" si="9"/>
        <v>PASS</v>
      </c>
      <c r="J146" s="17" t="s">
        <v>767</v>
      </c>
      <c r="K146" s="3"/>
      <c r="L146" s="3"/>
      <c r="M146" s="2"/>
      <c r="N146" s="2"/>
    </row>
    <row r="147" spans="1:14" ht="32" customHeight="1">
      <c r="A147" s="2"/>
      <c r="B147" s="2"/>
      <c r="C147" s="2" t="s">
        <v>768</v>
      </c>
      <c r="D147" s="3" t="s">
        <v>32</v>
      </c>
      <c r="E147" s="3">
        <f>'03 Schedules'!L359</f>
        <v>87.77828868874326</v>
      </c>
      <c r="F147" s="3">
        <f>'02 Model'!K59-'02 Model'!L59</f>
        <v>87.77828868874326</v>
      </c>
      <c r="G147" s="49">
        <f t="shared" si="8"/>
        <v>0</v>
      </c>
      <c r="H147" s="15">
        <v>0.1</v>
      </c>
      <c r="I147" s="3" t="str">
        <f t="shared" si="9"/>
        <v>PASS</v>
      </c>
      <c r="J147" s="17" t="s">
        <v>769</v>
      </c>
      <c r="K147" s="3"/>
      <c r="L147" s="3"/>
      <c r="M147" s="2"/>
      <c r="N147" s="2"/>
    </row>
    <row r="148" spans="1:14" ht="32" customHeight="1">
      <c r="A148" s="2"/>
      <c r="B148" s="2"/>
      <c r="C148" s="2" t="s">
        <v>770</v>
      </c>
      <c r="D148" s="3" t="s">
        <v>32</v>
      </c>
      <c r="E148" s="3">
        <f>'02 Model'!L47</f>
        <v>1825.4343045231101</v>
      </c>
      <c r="F148" s="3">
        <f>SUM('03 Schedules'!L113:L117)</f>
        <v>1825.4343045231101</v>
      </c>
      <c r="G148" s="49">
        <f t="shared" si="8"/>
        <v>0</v>
      </c>
      <c r="H148" s="15">
        <v>0.1</v>
      </c>
      <c r="I148" s="3" t="str">
        <f t="shared" si="9"/>
        <v>PASS</v>
      </c>
      <c r="J148" s="17" t="s">
        <v>771</v>
      </c>
      <c r="K148" s="3"/>
      <c r="L148" s="3"/>
      <c r="M148" s="2"/>
      <c r="N148" s="2"/>
    </row>
    <row r="149" spans="1:14" ht="32" customHeight="1">
      <c r="A149" s="2"/>
      <c r="B149" s="2"/>
      <c r="C149" s="2" t="s">
        <v>772</v>
      </c>
      <c r="D149" s="3" t="s">
        <v>32</v>
      </c>
      <c r="E149" s="3">
        <f>-'02 Model'!L59</f>
        <v>1490.8617778068578</v>
      </c>
      <c r="F149" s="3">
        <f>SUM('03 Schedules'!L123:L129)</f>
        <v>1490.8617778068578</v>
      </c>
      <c r="G149" s="49">
        <f t="shared" si="8"/>
        <v>0</v>
      </c>
      <c r="H149" s="15">
        <v>0.1</v>
      </c>
      <c r="I149" s="3" t="str">
        <f t="shared" si="9"/>
        <v>PASS</v>
      </c>
      <c r="J149" s="17" t="s">
        <v>773</v>
      </c>
      <c r="K149" s="3"/>
      <c r="L149" s="3"/>
      <c r="M149" s="2"/>
      <c r="N149" s="2"/>
    </row>
    <row r="150" spans="1:14" ht="32" customHeight="1">
      <c r="A150" s="2"/>
      <c r="B150" s="2"/>
      <c r="C150" s="2" t="s">
        <v>774</v>
      </c>
      <c r="D150" s="3" t="s">
        <v>32</v>
      </c>
      <c r="E150" s="3">
        <f>'02 Model'!L86</f>
        <v>4212.5895178688997</v>
      </c>
      <c r="F150" s="3">
        <f>SUM('03 Schedules'!L241:L252)</f>
        <v>4212.5895178688997</v>
      </c>
      <c r="G150" s="49">
        <f t="shared" si="8"/>
        <v>0</v>
      </c>
      <c r="H150" s="15">
        <v>0.1</v>
      </c>
      <c r="I150" s="3" t="str">
        <f t="shared" si="9"/>
        <v>PASS</v>
      </c>
      <c r="J150" s="17" t="s">
        <v>775</v>
      </c>
      <c r="K150" s="3"/>
      <c r="L150" s="3"/>
      <c r="M150" s="2"/>
      <c r="N150" s="2"/>
    </row>
    <row r="151" spans="1:14" ht="32" customHeight="1">
      <c r="A151" s="2"/>
      <c r="B151" s="2"/>
      <c r="C151" s="2" t="s">
        <v>776</v>
      </c>
      <c r="D151" s="3" t="s">
        <v>32</v>
      </c>
      <c r="E151" s="3">
        <f>'02 Model'!L30</f>
        <v>1186.4161470640136</v>
      </c>
      <c r="F151" s="3">
        <f>'03 Schedules'!L242+('02 Model'!L30*'03 Schedules'!L210)</f>
        <v>1186.4161470640136</v>
      </c>
      <c r="G151" s="49">
        <f t="shared" si="8"/>
        <v>0</v>
      </c>
      <c r="H151" s="15">
        <v>0.1</v>
      </c>
      <c r="I151" s="3" t="str">
        <f t="shared" si="9"/>
        <v>PASS</v>
      </c>
      <c r="J151" s="17" t="s">
        <v>777</v>
      </c>
      <c r="K151" s="3"/>
      <c r="L151" s="3"/>
      <c r="M151" s="2"/>
      <c r="N151" s="2"/>
    </row>
    <row r="152" spans="1:14" ht="32" customHeight="1">
      <c r="A152" s="2"/>
      <c r="B152" s="2"/>
      <c r="C152" s="2" t="s">
        <v>778</v>
      </c>
      <c r="D152" s="3" t="s">
        <v>32</v>
      </c>
      <c r="E152" s="3">
        <f>'02 Model'!L88</f>
        <v>134.29106220851244</v>
      </c>
      <c r="F152" s="3">
        <f>'02 Model'!K88+'02 Model'!L30-'03 Schedules'!L242+'02 Model'!L130</f>
        <v>134.29106220851253</v>
      </c>
      <c r="G152" s="49">
        <f t="shared" si="8"/>
        <v>0</v>
      </c>
      <c r="H152" s="15">
        <v>0.1</v>
      </c>
      <c r="I152" s="3" t="str">
        <f t="shared" si="9"/>
        <v>PASS</v>
      </c>
      <c r="J152" s="17" t="s">
        <v>779</v>
      </c>
      <c r="K152" s="3"/>
      <c r="L152" s="3"/>
      <c r="M152" s="2"/>
      <c r="N152" s="2"/>
    </row>
    <row r="153" spans="1:14" ht="32" customHeight="1">
      <c r="A153" s="2"/>
      <c r="B153" s="2"/>
      <c r="C153" s="2" t="s">
        <v>780</v>
      </c>
      <c r="D153" s="3" t="s">
        <v>32</v>
      </c>
      <c r="E153" s="3">
        <f>-'02 Model'!L102-'02 Model'!L106</f>
        <v>300</v>
      </c>
      <c r="F153" s="3">
        <f>'01 Assumptions'!L24</f>
        <v>300</v>
      </c>
      <c r="G153" s="49">
        <f t="shared" si="8"/>
        <v>0</v>
      </c>
      <c r="H153" s="15">
        <v>0.1</v>
      </c>
      <c r="I153" s="3" t="str">
        <f t="shared" si="9"/>
        <v>PASS</v>
      </c>
      <c r="J153" s="17" t="s">
        <v>781</v>
      </c>
      <c r="K153" s="3"/>
      <c r="L153" s="3"/>
      <c r="M153" s="2"/>
      <c r="N153" s="2"/>
    </row>
    <row r="154" spans="1:14" ht="32" customHeight="1">
      <c r="A154" s="2"/>
      <c r="B154" s="2"/>
      <c r="C154" s="2" t="s">
        <v>782</v>
      </c>
      <c r="D154" s="3" t="s">
        <v>32</v>
      </c>
      <c r="E154" s="3">
        <f>'02 Model'!L129</f>
        <v>-417.2</v>
      </c>
      <c r="F154" s="3">
        <f>'03 Schedules'!L249</f>
        <v>-417.2</v>
      </c>
      <c r="G154" s="49">
        <f t="shared" si="8"/>
        <v>0</v>
      </c>
      <c r="H154" s="15">
        <v>0.1</v>
      </c>
      <c r="I154" s="3" t="str">
        <f t="shared" si="9"/>
        <v>PASS</v>
      </c>
      <c r="J154" s="17" t="s">
        <v>783</v>
      </c>
      <c r="K154" s="3"/>
      <c r="L154" s="3"/>
      <c r="M154" s="2"/>
      <c r="N154" s="2"/>
    </row>
    <row r="155" spans="1:14" ht="32" customHeight="1">
      <c r="A155" s="2"/>
      <c r="B155" s="2"/>
      <c r="C155" s="2" t="s">
        <v>784</v>
      </c>
      <c r="D155" s="3" t="s">
        <v>32</v>
      </c>
      <c r="E155" s="3">
        <f>'02 Model'!L114</f>
        <v>-690.84941818648304</v>
      </c>
      <c r="F155" s="3">
        <f>'03 Schedules'!L244</f>
        <v>-690.84941818648304</v>
      </c>
      <c r="G155" s="49">
        <f t="shared" si="8"/>
        <v>0</v>
      </c>
      <c r="H155" s="15">
        <v>0.1</v>
      </c>
      <c r="I155" s="3" t="str">
        <f t="shared" si="9"/>
        <v>PASS</v>
      </c>
      <c r="J155" s="17" t="s">
        <v>785</v>
      </c>
      <c r="K155" s="3"/>
      <c r="L155" s="3"/>
      <c r="M155" s="2"/>
      <c r="N155" s="2"/>
    </row>
    <row r="156" spans="1:14" ht="32" customHeight="1">
      <c r="A156" s="2"/>
      <c r="B156" s="2"/>
      <c r="C156" s="2" t="s">
        <v>786</v>
      </c>
      <c r="D156" s="3" t="s">
        <v>32</v>
      </c>
      <c r="E156" s="3">
        <f>SUM('02 Model'!L50,'02 Model'!L62,'02 Model'!L71)</f>
        <v>-75.882254583333179</v>
      </c>
      <c r="F156" s="3">
        <f>SUM('02 Model'!K50,'02 Model'!K62,'02 Model'!K71)+'02 Model'!L29-'02 Model'!L98+'03 Schedules'!L248</f>
        <v>-75.882254583333179</v>
      </c>
      <c r="G156" s="49">
        <f t="shared" si="8"/>
        <v>0</v>
      </c>
      <c r="H156" s="15">
        <v>0.1</v>
      </c>
      <c r="I156" s="3" t="str">
        <f t="shared" si="9"/>
        <v>PASS</v>
      </c>
      <c r="J156" s="17" t="s">
        <v>787</v>
      </c>
      <c r="K156" s="3"/>
      <c r="L156" s="3"/>
      <c r="M156" s="2"/>
      <c r="N156" s="2"/>
    </row>
    <row r="157" spans="1:14" ht="32" customHeight="1">
      <c r="A157" s="2"/>
      <c r="B157" s="2"/>
      <c r="C157" s="2" t="s">
        <v>788</v>
      </c>
      <c r="D157" s="3" t="s">
        <v>32</v>
      </c>
      <c r="E157" s="3">
        <f>-'02 Model'!L114-'02 Model'!L128</f>
        <v>690.84941818648304</v>
      </c>
      <c r="F157" s="3">
        <f>'03 Schedules'!L319</f>
        <v>690.84941818648304</v>
      </c>
      <c r="G157" s="49">
        <f t="shared" si="8"/>
        <v>0</v>
      </c>
      <c r="H157" s="15">
        <v>0.1</v>
      </c>
      <c r="I157" s="3" t="str">
        <f t="shared" si="9"/>
        <v>PASS</v>
      </c>
      <c r="J157" s="17" t="s">
        <v>789</v>
      </c>
      <c r="K157" s="3"/>
      <c r="L157" s="3"/>
      <c r="M157" s="2"/>
      <c r="N157" s="2"/>
    </row>
    <row r="158" spans="1:14" ht="32" customHeight="1">
      <c r="A158" s="2"/>
      <c r="B158" s="2"/>
      <c r="C158" s="2" t="s">
        <v>790</v>
      </c>
      <c r="D158" s="3" t="s">
        <v>32</v>
      </c>
      <c r="E158" s="3">
        <f>'03 Schedules'!L159</f>
        <v>696</v>
      </c>
      <c r="F158" s="3">
        <f>'03 Schedules'!L187</f>
        <v>696</v>
      </c>
      <c r="G158" s="49">
        <f t="shared" si="8"/>
        <v>0</v>
      </c>
      <c r="H158" s="15">
        <v>0.1</v>
      </c>
      <c r="I158" s="3" t="str">
        <f t="shared" si="9"/>
        <v>PASS</v>
      </c>
      <c r="J158" s="17" t="s">
        <v>791</v>
      </c>
      <c r="K158" s="3"/>
      <c r="L158" s="3"/>
      <c r="M158" s="2"/>
      <c r="N158" s="2"/>
    </row>
    <row r="159" spans="1:14" ht="32" customHeight="1">
      <c r="A159" s="2"/>
      <c r="B159" s="2"/>
      <c r="C159" s="2" t="s">
        <v>792</v>
      </c>
      <c r="D159" s="3" t="s">
        <v>32</v>
      </c>
      <c r="E159" s="3">
        <f>'03 Schedules'!L69</f>
        <v>140</v>
      </c>
      <c r="F159" s="3">
        <f>'03 Schedules'!L77</f>
        <v>140</v>
      </c>
      <c r="G159" s="49">
        <f t="shared" si="8"/>
        <v>0</v>
      </c>
      <c r="H159" s="15">
        <v>0.1</v>
      </c>
      <c r="I159" s="3" t="str">
        <f t="shared" si="9"/>
        <v>PASS</v>
      </c>
      <c r="J159" s="17" t="s">
        <v>793</v>
      </c>
      <c r="K159" s="3"/>
      <c r="L159" s="3"/>
      <c r="M159" s="2"/>
      <c r="N159" s="2"/>
    </row>
    <row r="160" spans="1:14" ht="20" customHeight="1">
      <c r="A160" s="2"/>
      <c r="B160" s="2"/>
      <c r="C160" s="2"/>
      <c r="D160" s="3"/>
      <c r="E160" s="3"/>
      <c r="F160" s="3"/>
      <c r="G160" s="3"/>
      <c r="H160" s="3"/>
      <c r="I160" s="3"/>
      <c r="J160" s="3"/>
      <c r="K160" s="3"/>
      <c r="L160" s="3"/>
      <c r="M160" s="2"/>
      <c r="N160" s="2"/>
    </row>
    <row r="161" spans="1:14" ht="20" customHeight="1">
      <c r="A161" s="2"/>
      <c r="B161" s="2"/>
      <c r="C161" s="2"/>
      <c r="D161" s="3"/>
      <c r="E161" s="3"/>
      <c r="F161" s="3"/>
      <c r="G161" s="3"/>
      <c r="H161" s="3"/>
      <c r="I161" s="3"/>
      <c r="J161" s="3"/>
      <c r="K161" s="3"/>
      <c r="L161" s="3"/>
      <c r="M161" s="2"/>
      <c r="N161" s="2"/>
    </row>
    <row r="162" spans="1:14" ht="25" customHeight="1">
      <c r="A162" s="2"/>
      <c r="B162" s="2"/>
      <c r="C162" s="6" t="s">
        <v>794</v>
      </c>
      <c r="D162" s="7"/>
      <c r="E162" s="7"/>
      <c r="F162" s="7"/>
      <c r="G162" s="7"/>
      <c r="H162" s="7"/>
      <c r="I162" s="7"/>
      <c r="J162" s="7"/>
      <c r="K162" s="7"/>
      <c r="L162" s="7"/>
      <c r="M162" s="2"/>
      <c r="N162" s="2"/>
    </row>
    <row r="163" spans="1:14" ht="44" customHeight="1">
      <c r="A163" s="2"/>
      <c r="B163" s="2"/>
      <c r="C163" s="16" t="s">
        <v>795</v>
      </c>
      <c r="D163" s="129" t="s">
        <v>796</v>
      </c>
      <c r="E163" s="129"/>
      <c r="F163" s="129"/>
      <c r="G163" s="129"/>
      <c r="H163" s="129"/>
      <c r="I163" s="129"/>
      <c r="J163" s="129"/>
      <c r="K163" s="129"/>
      <c r="L163" s="129"/>
      <c r="M163" s="2"/>
      <c r="N163" s="2"/>
    </row>
    <row r="164" spans="1:14" ht="44" customHeight="1">
      <c r="A164" s="2"/>
      <c r="B164" s="2"/>
      <c r="C164" s="16" t="s">
        <v>797</v>
      </c>
      <c r="D164" s="129" t="s">
        <v>798</v>
      </c>
      <c r="E164" s="129"/>
      <c r="F164" s="129"/>
      <c r="G164" s="129"/>
      <c r="H164" s="129"/>
      <c r="I164" s="129"/>
      <c r="J164" s="129"/>
      <c r="K164" s="129"/>
      <c r="L164" s="129"/>
      <c r="M164" s="2"/>
      <c r="N164" s="2"/>
    </row>
    <row r="165" spans="1:14" ht="44" customHeight="1">
      <c r="A165" s="2"/>
      <c r="B165" s="2"/>
      <c r="C165" s="16" t="s">
        <v>799</v>
      </c>
      <c r="D165" s="129" t="s">
        <v>800</v>
      </c>
      <c r="E165" s="129"/>
      <c r="F165" s="129"/>
      <c r="G165" s="129"/>
      <c r="H165" s="129"/>
      <c r="I165" s="129"/>
      <c r="J165" s="129"/>
      <c r="K165" s="129"/>
      <c r="L165" s="129"/>
      <c r="M165" s="2"/>
      <c r="N165" s="2"/>
    </row>
    <row r="166" spans="1:14" ht="44" customHeight="1">
      <c r="A166" s="2"/>
      <c r="B166" s="2"/>
      <c r="C166" s="16" t="s">
        <v>801</v>
      </c>
      <c r="D166" s="129" t="s">
        <v>802</v>
      </c>
      <c r="E166" s="129"/>
      <c r="F166" s="129"/>
      <c r="G166" s="129"/>
      <c r="H166" s="129"/>
      <c r="I166" s="129"/>
      <c r="J166" s="129"/>
      <c r="K166" s="129"/>
      <c r="L166" s="129"/>
      <c r="M166" s="2"/>
      <c r="N166" s="2"/>
    </row>
    <row r="167" spans="1:14" ht="44" customHeight="1">
      <c r="A167" s="2"/>
      <c r="B167" s="2"/>
      <c r="C167" s="16" t="s">
        <v>803</v>
      </c>
      <c r="D167" s="129" t="s">
        <v>804</v>
      </c>
      <c r="E167" s="129"/>
      <c r="F167" s="129"/>
      <c r="G167" s="129"/>
      <c r="H167" s="129"/>
      <c r="I167" s="129"/>
      <c r="J167" s="129"/>
      <c r="K167" s="129"/>
      <c r="L167" s="129"/>
      <c r="M167" s="2"/>
      <c r="N167" s="2"/>
    </row>
    <row r="168" spans="1:14" ht="44" customHeight="1">
      <c r="A168" s="2"/>
      <c r="B168" s="2"/>
      <c r="C168" s="16" t="s">
        <v>805</v>
      </c>
      <c r="D168" s="129" t="s">
        <v>806</v>
      </c>
      <c r="E168" s="129"/>
      <c r="F168" s="129"/>
      <c r="G168" s="129"/>
      <c r="H168" s="129"/>
      <c r="I168" s="129"/>
      <c r="J168" s="129"/>
      <c r="K168" s="129"/>
      <c r="L168" s="129"/>
      <c r="M168" s="2"/>
      <c r="N168" s="2"/>
    </row>
    <row r="169" spans="1:14" ht="44" customHeight="1">
      <c r="A169" s="2"/>
      <c r="B169" s="2"/>
      <c r="C169" s="16" t="s">
        <v>807</v>
      </c>
      <c r="D169" s="129" t="s">
        <v>808</v>
      </c>
      <c r="E169" s="129"/>
      <c r="F169" s="129"/>
      <c r="G169" s="129"/>
      <c r="H169" s="129"/>
      <c r="I169" s="129"/>
      <c r="J169" s="129"/>
      <c r="K169" s="129"/>
      <c r="L169" s="129"/>
      <c r="M169" s="2"/>
      <c r="N169" s="2"/>
    </row>
    <row r="170" spans="1:14" ht="44" customHeight="1">
      <c r="A170" s="2"/>
      <c r="B170" s="2"/>
      <c r="C170" s="16" t="s">
        <v>809</v>
      </c>
      <c r="D170" s="129" t="s">
        <v>810</v>
      </c>
      <c r="E170" s="129"/>
      <c r="F170" s="129"/>
      <c r="G170" s="129"/>
      <c r="H170" s="129"/>
      <c r="I170" s="129"/>
      <c r="J170" s="129"/>
      <c r="K170" s="129"/>
      <c r="L170" s="129"/>
      <c r="M170" s="2"/>
      <c r="N170" s="2"/>
    </row>
    <row r="171" spans="1:14" ht="20" customHeight="1">
      <c r="A171" s="2"/>
      <c r="B171" s="2"/>
      <c r="C171" s="2"/>
      <c r="D171" s="3"/>
      <c r="E171" s="3"/>
      <c r="F171" s="3"/>
      <c r="G171" s="3"/>
      <c r="H171" s="3"/>
      <c r="I171" s="3"/>
      <c r="J171" s="3"/>
      <c r="K171" s="3"/>
      <c r="L171" s="3"/>
      <c r="M171" s="2"/>
      <c r="N171" s="2"/>
    </row>
    <row r="172" spans="1:14" ht="20" customHeight="1">
      <c r="A172" s="2"/>
      <c r="B172" s="2"/>
      <c r="C172" s="2"/>
      <c r="D172" s="3"/>
      <c r="E172" s="3"/>
      <c r="F172" s="3"/>
      <c r="G172" s="3"/>
      <c r="H172" s="3"/>
      <c r="I172" s="3"/>
      <c r="J172" s="3"/>
      <c r="K172" s="3"/>
      <c r="L172" s="3"/>
      <c r="M172" s="2"/>
      <c r="N172" s="2"/>
    </row>
    <row r="173" spans="1:14" ht="25" customHeight="1">
      <c r="A173" s="2"/>
      <c r="B173" s="2"/>
      <c r="C173" s="6" t="s">
        <v>811</v>
      </c>
      <c r="D173" s="7"/>
      <c r="E173" s="7"/>
      <c r="F173" s="7"/>
      <c r="G173" s="7"/>
      <c r="H173" s="7"/>
      <c r="I173" s="7"/>
      <c r="J173" s="7"/>
      <c r="K173" s="7"/>
      <c r="L173" s="7"/>
      <c r="M173" s="2"/>
      <c r="N173" s="2"/>
    </row>
    <row r="174" spans="1:14" ht="30" customHeight="1">
      <c r="A174" s="2"/>
      <c r="B174" s="2"/>
      <c r="C174" s="41" t="s">
        <v>812</v>
      </c>
      <c r="D174" s="130" t="s">
        <v>813</v>
      </c>
      <c r="E174" s="130"/>
      <c r="F174" s="130"/>
      <c r="G174" s="42" t="s">
        <v>45</v>
      </c>
      <c r="H174" s="130" t="s">
        <v>814</v>
      </c>
      <c r="I174" s="130"/>
      <c r="J174" s="42" t="s">
        <v>815</v>
      </c>
      <c r="K174" s="130" t="s">
        <v>816</v>
      </c>
      <c r="L174" s="130"/>
      <c r="M174" s="2"/>
      <c r="N174" s="2"/>
    </row>
    <row r="175" spans="1:14" ht="45" customHeight="1">
      <c r="A175" s="2"/>
      <c r="B175" s="2"/>
      <c r="C175" s="18" t="s">
        <v>126</v>
      </c>
      <c r="D175" s="127" t="s">
        <v>817</v>
      </c>
      <c r="E175" s="127"/>
      <c r="F175" s="127"/>
      <c r="G175" s="19" t="s">
        <v>818</v>
      </c>
      <c r="H175" s="127" t="s">
        <v>819</v>
      </c>
      <c r="I175" s="127"/>
      <c r="J175" s="19" t="s">
        <v>820</v>
      </c>
      <c r="K175" s="128" t="s">
        <v>821</v>
      </c>
      <c r="L175" s="127"/>
      <c r="M175" s="2"/>
      <c r="N175" s="2"/>
    </row>
    <row r="176" spans="1:14" ht="30" customHeight="1">
      <c r="A176" s="2"/>
      <c r="B176" s="2"/>
      <c r="C176" s="20" t="s">
        <v>822</v>
      </c>
      <c r="D176" s="126" t="s">
        <v>823</v>
      </c>
      <c r="E176" s="126"/>
      <c r="F176" s="126"/>
      <c r="G176" s="126"/>
      <c r="H176" s="126"/>
      <c r="I176" s="126"/>
      <c r="J176" s="126"/>
      <c r="K176" s="126"/>
      <c r="L176" s="126"/>
      <c r="M176" s="2"/>
      <c r="N176" s="2"/>
    </row>
    <row r="177" spans="1:14" ht="45" customHeight="1">
      <c r="A177" s="2"/>
      <c r="B177" s="2"/>
      <c r="C177" s="18" t="s">
        <v>127</v>
      </c>
      <c r="D177" s="127" t="s">
        <v>824</v>
      </c>
      <c r="E177" s="127"/>
      <c r="F177" s="127"/>
      <c r="G177" s="19" t="s">
        <v>818</v>
      </c>
      <c r="H177" s="127" t="s">
        <v>819</v>
      </c>
      <c r="I177" s="127"/>
      <c r="J177" s="19" t="s">
        <v>820</v>
      </c>
      <c r="K177" s="128" t="s">
        <v>821</v>
      </c>
      <c r="L177" s="127"/>
      <c r="M177" s="2"/>
      <c r="N177" s="2"/>
    </row>
    <row r="178" spans="1:14" ht="30" customHeight="1">
      <c r="A178" s="2"/>
      <c r="B178" s="2"/>
      <c r="C178" s="20" t="s">
        <v>822</v>
      </c>
      <c r="D178" s="126" t="s">
        <v>823</v>
      </c>
      <c r="E178" s="126"/>
      <c r="F178" s="126"/>
      <c r="G178" s="126"/>
      <c r="H178" s="126"/>
      <c r="I178" s="126"/>
      <c r="J178" s="126"/>
      <c r="K178" s="126"/>
      <c r="L178" s="126"/>
      <c r="M178" s="2"/>
      <c r="N178" s="2"/>
    </row>
    <row r="179" spans="1:14" ht="45" customHeight="1">
      <c r="A179" s="2"/>
      <c r="B179" s="2"/>
      <c r="C179" s="18" t="s">
        <v>129</v>
      </c>
      <c r="D179" s="127" t="s">
        <v>825</v>
      </c>
      <c r="E179" s="127"/>
      <c r="F179" s="127"/>
      <c r="G179" s="19" t="s">
        <v>818</v>
      </c>
      <c r="H179" s="127" t="s">
        <v>819</v>
      </c>
      <c r="I179" s="127"/>
      <c r="J179" s="19" t="s">
        <v>820</v>
      </c>
      <c r="K179" s="128" t="s">
        <v>821</v>
      </c>
      <c r="L179" s="127"/>
      <c r="M179" s="2"/>
      <c r="N179" s="2"/>
    </row>
    <row r="180" spans="1:14" ht="30" customHeight="1">
      <c r="A180" s="2"/>
      <c r="B180" s="2"/>
      <c r="C180" s="20" t="s">
        <v>822</v>
      </c>
      <c r="D180" s="126" t="s">
        <v>823</v>
      </c>
      <c r="E180" s="126"/>
      <c r="F180" s="126"/>
      <c r="G180" s="126"/>
      <c r="H180" s="126"/>
      <c r="I180" s="126"/>
      <c r="J180" s="126"/>
      <c r="K180" s="126"/>
      <c r="L180" s="126"/>
      <c r="M180" s="2"/>
      <c r="N180" s="2"/>
    </row>
    <row r="181" spans="1:14" ht="45" customHeight="1">
      <c r="A181" s="2"/>
      <c r="B181" s="2"/>
      <c r="C181" s="18" t="s">
        <v>131</v>
      </c>
      <c r="D181" s="127" t="s">
        <v>826</v>
      </c>
      <c r="E181" s="127"/>
      <c r="F181" s="127"/>
      <c r="G181" s="19" t="s">
        <v>818</v>
      </c>
      <c r="H181" s="127" t="s">
        <v>819</v>
      </c>
      <c r="I181" s="127"/>
      <c r="J181" s="19" t="s">
        <v>820</v>
      </c>
      <c r="K181" s="128" t="s">
        <v>821</v>
      </c>
      <c r="L181" s="127"/>
      <c r="M181" s="2"/>
      <c r="N181" s="2"/>
    </row>
    <row r="182" spans="1:14" ht="30" customHeight="1">
      <c r="A182" s="2"/>
      <c r="B182" s="2"/>
      <c r="C182" s="20" t="s">
        <v>822</v>
      </c>
      <c r="D182" s="126" t="s">
        <v>823</v>
      </c>
      <c r="E182" s="126"/>
      <c r="F182" s="126"/>
      <c r="G182" s="126"/>
      <c r="H182" s="126"/>
      <c r="I182" s="126"/>
      <c r="J182" s="126"/>
      <c r="K182" s="126"/>
      <c r="L182" s="126"/>
      <c r="M182" s="2"/>
      <c r="N182" s="2"/>
    </row>
    <row r="183" spans="1:14" ht="45" customHeight="1">
      <c r="A183" s="2"/>
      <c r="B183" s="2"/>
      <c r="C183" s="18" t="s">
        <v>133</v>
      </c>
      <c r="D183" s="127" t="s">
        <v>827</v>
      </c>
      <c r="E183" s="127"/>
      <c r="F183" s="127"/>
      <c r="G183" s="19" t="s">
        <v>818</v>
      </c>
      <c r="H183" s="127" t="s">
        <v>819</v>
      </c>
      <c r="I183" s="127"/>
      <c r="J183" s="19" t="s">
        <v>820</v>
      </c>
      <c r="K183" s="128" t="s">
        <v>821</v>
      </c>
      <c r="L183" s="127"/>
      <c r="M183" s="2"/>
      <c r="N183" s="2"/>
    </row>
    <row r="184" spans="1:14" ht="30" customHeight="1">
      <c r="A184" s="2"/>
      <c r="B184" s="2"/>
      <c r="C184" s="20" t="s">
        <v>822</v>
      </c>
      <c r="D184" s="126" t="s">
        <v>823</v>
      </c>
      <c r="E184" s="126"/>
      <c r="F184" s="126"/>
      <c r="G184" s="126"/>
      <c r="H184" s="126"/>
      <c r="I184" s="126"/>
      <c r="J184" s="126"/>
      <c r="K184" s="126"/>
      <c r="L184" s="126"/>
      <c r="M184" s="2"/>
      <c r="N184" s="2"/>
    </row>
    <row r="185" spans="1:14" ht="45" customHeight="1">
      <c r="A185" s="2"/>
      <c r="B185" s="2"/>
      <c r="C185" s="18" t="s">
        <v>135</v>
      </c>
      <c r="D185" s="127" t="s">
        <v>828</v>
      </c>
      <c r="E185" s="127"/>
      <c r="F185" s="127"/>
      <c r="G185" s="19" t="s">
        <v>818</v>
      </c>
      <c r="H185" s="127" t="s">
        <v>819</v>
      </c>
      <c r="I185" s="127"/>
      <c r="J185" s="19" t="s">
        <v>820</v>
      </c>
      <c r="K185" s="128" t="s">
        <v>821</v>
      </c>
      <c r="L185" s="127"/>
      <c r="M185" s="2"/>
      <c r="N185" s="2"/>
    </row>
    <row r="186" spans="1:14" ht="30" customHeight="1">
      <c r="A186" s="2"/>
      <c r="B186" s="2"/>
      <c r="C186" s="20" t="s">
        <v>822</v>
      </c>
      <c r="D186" s="126" t="s">
        <v>823</v>
      </c>
      <c r="E186" s="126"/>
      <c r="F186" s="126"/>
      <c r="G186" s="126"/>
      <c r="H186" s="126"/>
      <c r="I186" s="126"/>
      <c r="J186" s="126"/>
      <c r="K186" s="126"/>
      <c r="L186" s="126"/>
      <c r="M186" s="2"/>
      <c r="N186" s="2"/>
    </row>
    <row r="187" spans="1:14" ht="45" customHeight="1">
      <c r="A187" s="2"/>
      <c r="B187" s="2"/>
      <c r="C187" s="18" t="s">
        <v>137</v>
      </c>
      <c r="D187" s="127" t="s">
        <v>829</v>
      </c>
      <c r="E187" s="127"/>
      <c r="F187" s="127"/>
      <c r="G187" s="19" t="s">
        <v>818</v>
      </c>
      <c r="H187" s="127" t="s">
        <v>819</v>
      </c>
      <c r="I187" s="127"/>
      <c r="J187" s="19" t="s">
        <v>820</v>
      </c>
      <c r="K187" s="128" t="s">
        <v>821</v>
      </c>
      <c r="L187" s="127"/>
      <c r="M187" s="2"/>
      <c r="N187" s="2"/>
    </row>
    <row r="188" spans="1:14" ht="30" customHeight="1">
      <c r="A188" s="2"/>
      <c r="B188" s="2"/>
      <c r="C188" s="20" t="s">
        <v>822</v>
      </c>
      <c r="D188" s="126" t="s">
        <v>823</v>
      </c>
      <c r="E188" s="126"/>
      <c r="F188" s="126"/>
      <c r="G188" s="126"/>
      <c r="H188" s="126"/>
      <c r="I188" s="126"/>
      <c r="J188" s="126"/>
      <c r="K188" s="126"/>
      <c r="L188" s="126"/>
      <c r="M188" s="2"/>
      <c r="N188" s="2"/>
    </row>
    <row r="189" spans="1:14" ht="45" customHeight="1">
      <c r="A189" s="2"/>
      <c r="B189" s="2"/>
      <c r="C189" s="18" t="s">
        <v>139</v>
      </c>
      <c r="D189" s="127" t="s">
        <v>830</v>
      </c>
      <c r="E189" s="127"/>
      <c r="F189" s="127"/>
      <c r="G189" s="19" t="s">
        <v>818</v>
      </c>
      <c r="H189" s="127" t="s">
        <v>819</v>
      </c>
      <c r="I189" s="127"/>
      <c r="J189" s="19" t="s">
        <v>820</v>
      </c>
      <c r="K189" s="128" t="s">
        <v>821</v>
      </c>
      <c r="L189" s="127"/>
      <c r="M189" s="2"/>
      <c r="N189" s="2"/>
    </row>
    <row r="190" spans="1:14" ht="30" customHeight="1">
      <c r="A190" s="2"/>
      <c r="B190" s="2"/>
      <c r="C190" s="20" t="s">
        <v>822</v>
      </c>
      <c r="D190" s="126" t="s">
        <v>823</v>
      </c>
      <c r="E190" s="126"/>
      <c r="F190" s="126"/>
      <c r="G190" s="126"/>
      <c r="H190" s="126"/>
      <c r="I190" s="126"/>
      <c r="J190" s="126"/>
      <c r="K190" s="126"/>
      <c r="L190" s="126"/>
      <c r="M190" s="2"/>
      <c r="N190" s="2"/>
    </row>
    <row r="191" spans="1:14" ht="45" customHeight="1">
      <c r="A191" s="2"/>
      <c r="B191" s="2"/>
      <c r="C191" s="18" t="s">
        <v>141</v>
      </c>
      <c r="D191" s="127" t="s">
        <v>831</v>
      </c>
      <c r="E191" s="127"/>
      <c r="F191" s="127"/>
      <c r="G191" s="19" t="s">
        <v>818</v>
      </c>
      <c r="H191" s="127" t="s">
        <v>819</v>
      </c>
      <c r="I191" s="127"/>
      <c r="J191" s="19" t="s">
        <v>820</v>
      </c>
      <c r="K191" s="128" t="s">
        <v>821</v>
      </c>
      <c r="L191" s="127"/>
      <c r="M191" s="2"/>
      <c r="N191" s="2"/>
    </row>
    <row r="192" spans="1:14" ht="30" customHeight="1">
      <c r="A192" s="2"/>
      <c r="B192" s="2"/>
      <c r="C192" s="20" t="s">
        <v>822</v>
      </c>
      <c r="D192" s="126" t="s">
        <v>823</v>
      </c>
      <c r="E192" s="126"/>
      <c r="F192" s="126"/>
      <c r="G192" s="126"/>
      <c r="H192" s="126"/>
      <c r="I192" s="126"/>
      <c r="J192" s="126"/>
      <c r="K192" s="126"/>
      <c r="L192" s="126"/>
      <c r="M192" s="2"/>
      <c r="N192" s="2"/>
    </row>
    <row r="193" spans="1:14" ht="45" customHeight="1">
      <c r="A193" s="2"/>
      <c r="B193" s="2"/>
      <c r="C193" s="18" t="s">
        <v>143</v>
      </c>
      <c r="D193" s="127" t="s">
        <v>832</v>
      </c>
      <c r="E193" s="127"/>
      <c r="F193" s="127"/>
      <c r="G193" s="19" t="s">
        <v>818</v>
      </c>
      <c r="H193" s="127" t="s">
        <v>819</v>
      </c>
      <c r="I193" s="127"/>
      <c r="J193" s="19" t="s">
        <v>820</v>
      </c>
      <c r="K193" s="128" t="s">
        <v>821</v>
      </c>
      <c r="L193" s="127"/>
      <c r="M193" s="2"/>
      <c r="N193" s="2"/>
    </row>
    <row r="194" spans="1:14" ht="30" customHeight="1">
      <c r="A194" s="2"/>
      <c r="B194" s="2"/>
      <c r="C194" s="20" t="s">
        <v>822</v>
      </c>
      <c r="D194" s="126" t="s">
        <v>823</v>
      </c>
      <c r="E194" s="126"/>
      <c r="F194" s="126"/>
      <c r="G194" s="126"/>
      <c r="H194" s="126"/>
      <c r="I194" s="126"/>
      <c r="J194" s="126"/>
      <c r="K194" s="126"/>
      <c r="L194" s="126"/>
      <c r="M194" s="2"/>
      <c r="N194" s="2"/>
    </row>
    <row r="195" spans="1:14" ht="45" customHeight="1">
      <c r="A195" s="2"/>
      <c r="B195" s="2"/>
      <c r="C195" s="18" t="s">
        <v>145</v>
      </c>
      <c r="D195" s="127" t="s">
        <v>833</v>
      </c>
      <c r="E195" s="127"/>
      <c r="F195" s="127"/>
      <c r="G195" s="19" t="s">
        <v>818</v>
      </c>
      <c r="H195" s="127" t="s">
        <v>819</v>
      </c>
      <c r="I195" s="127"/>
      <c r="J195" s="19" t="s">
        <v>820</v>
      </c>
      <c r="K195" s="128" t="s">
        <v>821</v>
      </c>
      <c r="L195" s="127"/>
      <c r="M195" s="2"/>
      <c r="N195" s="2"/>
    </row>
    <row r="196" spans="1:14" ht="30" customHeight="1">
      <c r="A196" s="2"/>
      <c r="B196" s="2"/>
      <c r="C196" s="20" t="s">
        <v>822</v>
      </c>
      <c r="D196" s="126" t="s">
        <v>823</v>
      </c>
      <c r="E196" s="126"/>
      <c r="F196" s="126"/>
      <c r="G196" s="126"/>
      <c r="H196" s="126"/>
      <c r="I196" s="126"/>
      <c r="J196" s="126"/>
      <c r="K196" s="126"/>
      <c r="L196" s="126"/>
      <c r="M196" s="2"/>
      <c r="N196" s="2"/>
    </row>
    <row r="197" spans="1:14" ht="45" customHeight="1">
      <c r="A197" s="2"/>
      <c r="B197" s="2"/>
      <c r="C197" s="18" t="s">
        <v>147</v>
      </c>
      <c r="D197" s="127" t="s">
        <v>834</v>
      </c>
      <c r="E197" s="127"/>
      <c r="F197" s="127"/>
      <c r="G197" s="19" t="s">
        <v>818</v>
      </c>
      <c r="H197" s="127" t="s">
        <v>819</v>
      </c>
      <c r="I197" s="127"/>
      <c r="J197" s="19" t="s">
        <v>820</v>
      </c>
      <c r="K197" s="128" t="s">
        <v>821</v>
      </c>
      <c r="L197" s="127"/>
      <c r="M197" s="2"/>
      <c r="N197" s="2"/>
    </row>
    <row r="198" spans="1:14" ht="30" customHeight="1">
      <c r="A198" s="2"/>
      <c r="B198" s="2"/>
      <c r="C198" s="20" t="s">
        <v>822</v>
      </c>
      <c r="D198" s="126" t="s">
        <v>823</v>
      </c>
      <c r="E198" s="126"/>
      <c r="F198" s="126"/>
      <c r="G198" s="126"/>
      <c r="H198" s="126"/>
      <c r="I198" s="126"/>
      <c r="J198" s="126"/>
      <c r="K198" s="126"/>
      <c r="L198" s="126"/>
      <c r="M198" s="2"/>
      <c r="N198" s="2"/>
    </row>
    <row r="199" spans="1:14" ht="45" customHeight="1">
      <c r="A199" s="2"/>
      <c r="B199" s="2"/>
      <c r="C199" s="18" t="s">
        <v>149</v>
      </c>
      <c r="D199" s="127" t="s">
        <v>835</v>
      </c>
      <c r="E199" s="127"/>
      <c r="F199" s="127"/>
      <c r="G199" s="19" t="s">
        <v>818</v>
      </c>
      <c r="H199" s="127" t="s">
        <v>819</v>
      </c>
      <c r="I199" s="127"/>
      <c r="J199" s="19" t="s">
        <v>820</v>
      </c>
      <c r="K199" s="128" t="s">
        <v>821</v>
      </c>
      <c r="L199" s="127"/>
      <c r="M199" s="2"/>
      <c r="N199" s="2"/>
    </row>
    <row r="200" spans="1:14" ht="30" customHeight="1">
      <c r="A200" s="2"/>
      <c r="B200" s="2"/>
      <c r="C200" s="20" t="s">
        <v>822</v>
      </c>
      <c r="D200" s="126" t="s">
        <v>823</v>
      </c>
      <c r="E200" s="126"/>
      <c r="F200" s="126"/>
      <c r="G200" s="126"/>
      <c r="H200" s="126"/>
      <c r="I200" s="126"/>
      <c r="J200" s="126"/>
      <c r="K200" s="126"/>
      <c r="L200" s="126"/>
      <c r="M200" s="2"/>
      <c r="N200" s="2"/>
    </row>
    <row r="201" spans="1:14" ht="45" customHeight="1">
      <c r="A201" s="2"/>
      <c r="B201" s="2"/>
      <c r="C201" s="18" t="s">
        <v>151</v>
      </c>
      <c r="D201" s="127" t="s">
        <v>836</v>
      </c>
      <c r="E201" s="127"/>
      <c r="F201" s="127"/>
      <c r="G201" s="19" t="s">
        <v>818</v>
      </c>
      <c r="H201" s="127" t="s">
        <v>819</v>
      </c>
      <c r="I201" s="127"/>
      <c r="J201" s="19" t="s">
        <v>820</v>
      </c>
      <c r="K201" s="128" t="s">
        <v>821</v>
      </c>
      <c r="L201" s="127"/>
      <c r="M201" s="2"/>
      <c r="N201" s="2"/>
    </row>
    <row r="202" spans="1:14" ht="30" customHeight="1">
      <c r="A202" s="2"/>
      <c r="B202" s="2"/>
      <c r="C202" s="20" t="s">
        <v>822</v>
      </c>
      <c r="D202" s="126" t="s">
        <v>823</v>
      </c>
      <c r="E202" s="126"/>
      <c r="F202" s="126"/>
      <c r="G202" s="126"/>
      <c r="H202" s="126"/>
      <c r="I202" s="126"/>
      <c r="J202" s="126"/>
      <c r="K202" s="126"/>
      <c r="L202" s="126"/>
      <c r="M202" s="2"/>
      <c r="N202" s="2"/>
    </row>
    <row r="203" spans="1:14" ht="45" customHeight="1">
      <c r="A203" s="2"/>
      <c r="B203" s="2"/>
      <c r="C203" s="18" t="s">
        <v>153</v>
      </c>
      <c r="D203" s="127" t="s">
        <v>837</v>
      </c>
      <c r="E203" s="127"/>
      <c r="F203" s="127"/>
      <c r="G203" s="19" t="s">
        <v>818</v>
      </c>
      <c r="H203" s="127" t="s">
        <v>819</v>
      </c>
      <c r="I203" s="127"/>
      <c r="J203" s="19" t="s">
        <v>820</v>
      </c>
      <c r="K203" s="128" t="s">
        <v>821</v>
      </c>
      <c r="L203" s="127"/>
      <c r="M203" s="2"/>
      <c r="N203" s="2"/>
    </row>
    <row r="204" spans="1:14" ht="30" customHeight="1">
      <c r="A204" s="2"/>
      <c r="B204" s="2"/>
      <c r="C204" s="20" t="s">
        <v>822</v>
      </c>
      <c r="D204" s="126" t="s">
        <v>823</v>
      </c>
      <c r="E204" s="126"/>
      <c r="F204" s="126"/>
      <c r="G204" s="126"/>
      <c r="H204" s="126"/>
      <c r="I204" s="126"/>
      <c r="J204" s="126"/>
      <c r="K204" s="126"/>
      <c r="L204" s="126"/>
      <c r="M204" s="2"/>
      <c r="N204" s="2"/>
    </row>
    <row r="205" spans="1:14" ht="45" customHeight="1">
      <c r="A205" s="2"/>
      <c r="B205" s="2"/>
      <c r="C205" s="18" t="s">
        <v>155</v>
      </c>
      <c r="D205" s="127" t="s">
        <v>838</v>
      </c>
      <c r="E205" s="127"/>
      <c r="F205" s="127"/>
      <c r="G205" s="19" t="s">
        <v>818</v>
      </c>
      <c r="H205" s="127" t="s">
        <v>819</v>
      </c>
      <c r="I205" s="127"/>
      <c r="J205" s="19" t="s">
        <v>820</v>
      </c>
      <c r="K205" s="128" t="s">
        <v>821</v>
      </c>
      <c r="L205" s="127"/>
      <c r="M205" s="2"/>
      <c r="N205" s="2"/>
    </row>
    <row r="206" spans="1:14" ht="30" customHeight="1">
      <c r="A206" s="2"/>
      <c r="B206" s="2"/>
      <c r="C206" s="20" t="s">
        <v>822</v>
      </c>
      <c r="D206" s="126" t="s">
        <v>823</v>
      </c>
      <c r="E206" s="126"/>
      <c r="F206" s="126"/>
      <c r="G206" s="126"/>
      <c r="H206" s="126"/>
      <c r="I206" s="126"/>
      <c r="J206" s="126"/>
      <c r="K206" s="126"/>
      <c r="L206" s="126"/>
      <c r="M206" s="2"/>
      <c r="N206" s="2"/>
    </row>
    <row r="207" spans="1:14" ht="45" customHeight="1">
      <c r="A207" s="2"/>
      <c r="B207" s="2"/>
      <c r="C207" s="18" t="s">
        <v>157</v>
      </c>
      <c r="D207" s="127" t="s">
        <v>839</v>
      </c>
      <c r="E207" s="127"/>
      <c r="F207" s="127"/>
      <c r="G207" s="19" t="s">
        <v>818</v>
      </c>
      <c r="H207" s="127" t="s">
        <v>819</v>
      </c>
      <c r="I207" s="127"/>
      <c r="J207" s="19" t="s">
        <v>820</v>
      </c>
      <c r="K207" s="128" t="s">
        <v>821</v>
      </c>
      <c r="L207" s="127"/>
      <c r="M207" s="2"/>
      <c r="N207" s="2"/>
    </row>
    <row r="208" spans="1:14" ht="30" customHeight="1">
      <c r="A208" s="2"/>
      <c r="B208" s="2"/>
      <c r="C208" s="20" t="s">
        <v>822</v>
      </c>
      <c r="D208" s="126" t="s">
        <v>823</v>
      </c>
      <c r="E208" s="126"/>
      <c r="F208" s="126"/>
      <c r="G208" s="126"/>
      <c r="H208" s="126"/>
      <c r="I208" s="126"/>
      <c r="J208" s="126"/>
      <c r="K208" s="126"/>
      <c r="L208" s="126"/>
      <c r="M208" s="2"/>
      <c r="N208" s="2"/>
    </row>
    <row r="209" spans="1:14" ht="45" customHeight="1">
      <c r="A209" s="2"/>
      <c r="B209" s="2"/>
      <c r="C209" s="18" t="s">
        <v>159</v>
      </c>
      <c r="D209" s="127" t="s">
        <v>840</v>
      </c>
      <c r="E209" s="127"/>
      <c r="F209" s="127"/>
      <c r="G209" s="19" t="s">
        <v>818</v>
      </c>
      <c r="H209" s="127" t="s">
        <v>819</v>
      </c>
      <c r="I209" s="127"/>
      <c r="J209" s="19" t="s">
        <v>820</v>
      </c>
      <c r="K209" s="128" t="s">
        <v>821</v>
      </c>
      <c r="L209" s="127"/>
      <c r="M209" s="2"/>
      <c r="N209" s="2"/>
    </row>
    <row r="210" spans="1:14" ht="30" customHeight="1">
      <c r="A210" s="2"/>
      <c r="B210" s="2"/>
      <c r="C210" s="20" t="s">
        <v>822</v>
      </c>
      <c r="D210" s="126" t="s">
        <v>823</v>
      </c>
      <c r="E210" s="126"/>
      <c r="F210" s="126"/>
      <c r="G210" s="126"/>
      <c r="H210" s="126"/>
      <c r="I210" s="126"/>
      <c r="J210" s="126"/>
      <c r="K210" s="126"/>
      <c r="L210" s="126"/>
      <c r="M210" s="2"/>
      <c r="N210" s="2"/>
    </row>
    <row r="211" spans="1:14" ht="45" customHeight="1">
      <c r="A211" s="2"/>
      <c r="B211" s="2"/>
      <c r="C211" s="18" t="s">
        <v>161</v>
      </c>
      <c r="D211" s="127" t="s">
        <v>841</v>
      </c>
      <c r="E211" s="127"/>
      <c r="F211" s="127"/>
      <c r="G211" s="19" t="s">
        <v>818</v>
      </c>
      <c r="H211" s="127" t="s">
        <v>819</v>
      </c>
      <c r="I211" s="127"/>
      <c r="J211" s="19" t="s">
        <v>820</v>
      </c>
      <c r="K211" s="128" t="s">
        <v>821</v>
      </c>
      <c r="L211" s="127"/>
      <c r="M211" s="2"/>
      <c r="N211" s="2"/>
    </row>
    <row r="212" spans="1:14" ht="30" customHeight="1">
      <c r="A212" s="2"/>
      <c r="B212" s="2"/>
      <c r="C212" s="20" t="s">
        <v>822</v>
      </c>
      <c r="D212" s="126" t="s">
        <v>823</v>
      </c>
      <c r="E212" s="126"/>
      <c r="F212" s="126"/>
      <c r="G212" s="126"/>
      <c r="H212" s="126"/>
      <c r="I212" s="126"/>
      <c r="J212" s="126"/>
      <c r="K212" s="126"/>
      <c r="L212" s="126"/>
      <c r="M212" s="2"/>
      <c r="N212" s="2"/>
    </row>
    <row r="213" spans="1:14" ht="45" customHeight="1">
      <c r="A213" s="2"/>
      <c r="B213" s="2"/>
      <c r="C213" s="18" t="s">
        <v>163</v>
      </c>
      <c r="D213" s="127" t="s">
        <v>842</v>
      </c>
      <c r="E213" s="127"/>
      <c r="F213" s="127"/>
      <c r="G213" s="19" t="s">
        <v>818</v>
      </c>
      <c r="H213" s="127" t="s">
        <v>819</v>
      </c>
      <c r="I213" s="127"/>
      <c r="J213" s="19" t="s">
        <v>820</v>
      </c>
      <c r="K213" s="128" t="s">
        <v>821</v>
      </c>
      <c r="L213" s="127"/>
      <c r="M213" s="2"/>
      <c r="N213" s="2"/>
    </row>
    <row r="214" spans="1:14" ht="30" customHeight="1">
      <c r="A214" s="2"/>
      <c r="B214" s="2"/>
      <c r="C214" s="20" t="s">
        <v>822</v>
      </c>
      <c r="D214" s="126" t="s">
        <v>823</v>
      </c>
      <c r="E214" s="126"/>
      <c r="F214" s="126"/>
      <c r="G214" s="126"/>
      <c r="H214" s="126"/>
      <c r="I214" s="126"/>
      <c r="J214" s="126"/>
      <c r="K214" s="126"/>
      <c r="L214" s="126"/>
      <c r="M214" s="2"/>
      <c r="N214" s="2"/>
    </row>
    <row r="215" spans="1:14" ht="45" customHeight="1">
      <c r="A215" s="2"/>
      <c r="B215" s="2"/>
      <c r="C215" s="18" t="s">
        <v>164</v>
      </c>
      <c r="D215" s="127" t="s">
        <v>843</v>
      </c>
      <c r="E215" s="127"/>
      <c r="F215" s="127"/>
      <c r="G215" s="19" t="s">
        <v>818</v>
      </c>
      <c r="H215" s="127" t="s">
        <v>819</v>
      </c>
      <c r="I215" s="127"/>
      <c r="J215" s="19" t="s">
        <v>820</v>
      </c>
      <c r="K215" s="128" t="s">
        <v>821</v>
      </c>
      <c r="L215" s="127"/>
      <c r="M215" s="2"/>
      <c r="N215" s="2"/>
    </row>
    <row r="216" spans="1:14" ht="30" customHeight="1">
      <c r="A216" s="2"/>
      <c r="B216" s="2"/>
      <c r="C216" s="20" t="s">
        <v>822</v>
      </c>
      <c r="D216" s="126" t="s">
        <v>823</v>
      </c>
      <c r="E216" s="126"/>
      <c r="F216" s="126"/>
      <c r="G216" s="126"/>
      <c r="H216" s="126"/>
      <c r="I216" s="126"/>
      <c r="J216" s="126"/>
      <c r="K216" s="126"/>
      <c r="L216" s="126"/>
      <c r="M216" s="2"/>
      <c r="N216" s="2"/>
    </row>
    <row r="217" spans="1:14" ht="45" customHeight="1">
      <c r="A217" s="2"/>
      <c r="B217" s="2"/>
      <c r="C217" s="18" t="s">
        <v>166</v>
      </c>
      <c r="D217" s="127" t="s">
        <v>844</v>
      </c>
      <c r="E217" s="127"/>
      <c r="F217" s="127"/>
      <c r="G217" s="19" t="s">
        <v>818</v>
      </c>
      <c r="H217" s="127" t="s">
        <v>819</v>
      </c>
      <c r="I217" s="127"/>
      <c r="J217" s="19" t="s">
        <v>820</v>
      </c>
      <c r="K217" s="128" t="s">
        <v>821</v>
      </c>
      <c r="L217" s="127"/>
      <c r="M217" s="2"/>
      <c r="N217" s="2"/>
    </row>
    <row r="218" spans="1:14" ht="30" customHeight="1">
      <c r="A218" s="2"/>
      <c r="B218" s="2"/>
      <c r="C218" s="20" t="s">
        <v>822</v>
      </c>
      <c r="D218" s="126" t="s">
        <v>823</v>
      </c>
      <c r="E218" s="126"/>
      <c r="F218" s="126"/>
      <c r="G218" s="126"/>
      <c r="H218" s="126"/>
      <c r="I218" s="126"/>
      <c r="J218" s="126"/>
      <c r="K218" s="126"/>
      <c r="L218" s="126"/>
      <c r="M218" s="2"/>
      <c r="N218" s="2"/>
    </row>
    <row r="219" spans="1:14" ht="45" customHeight="1">
      <c r="A219" s="2"/>
      <c r="B219" s="2"/>
      <c r="C219" s="18" t="s">
        <v>168</v>
      </c>
      <c r="D219" s="127" t="s">
        <v>845</v>
      </c>
      <c r="E219" s="127"/>
      <c r="F219" s="127"/>
      <c r="G219" s="19" t="s">
        <v>818</v>
      </c>
      <c r="H219" s="127" t="s">
        <v>819</v>
      </c>
      <c r="I219" s="127"/>
      <c r="J219" s="19" t="s">
        <v>820</v>
      </c>
      <c r="K219" s="128" t="s">
        <v>821</v>
      </c>
      <c r="L219" s="127"/>
      <c r="M219" s="2"/>
      <c r="N219" s="2"/>
    </row>
    <row r="220" spans="1:14" ht="30" customHeight="1">
      <c r="A220" s="2"/>
      <c r="B220" s="2"/>
      <c r="C220" s="20" t="s">
        <v>822</v>
      </c>
      <c r="D220" s="126" t="s">
        <v>823</v>
      </c>
      <c r="E220" s="126"/>
      <c r="F220" s="126"/>
      <c r="G220" s="126"/>
      <c r="H220" s="126"/>
      <c r="I220" s="126"/>
      <c r="J220" s="126"/>
      <c r="K220" s="126"/>
      <c r="L220" s="126"/>
      <c r="M220" s="2"/>
      <c r="N220" s="2"/>
    </row>
    <row r="221" spans="1:14" ht="45" customHeight="1">
      <c r="A221" s="2"/>
      <c r="B221" s="2"/>
      <c r="C221" s="18" t="s">
        <v>174</v>
      </c>
      <c r="D221" s="127" t="s">
        <v>846</v>
      </c>
      <c r="E221" s="127"/>
      <c r="F221" s="127"/>
      <c r="G221" s="19" t="s">
        <v>818</v>
      </c>
      <c r="H221" s="127" t="s">
        <v>819</v>
      </c>
      <c r="I221" s="127"/>
      <c r="J221" s="19" t="s">
        <v>847</v>
      </c>
      <c r="K221" s="128" t="s">
        <v>821</v>
      </c>
      <c r="L221" s="127"/>
      <c r="M221" s="2"/>
      <c r="N221" s="2"/>
    </row>
    <row r="222" spans="1:14" ht="30" customHeight="1">
      <c r="A222" s="2"/>
      <c r="B222" s="2"/>
      <c r="C222" s="20" t="s">
        <v>822</v>
      </c>
      <c r="D222" s="126" t="s">
        <v>823</v>
      </c>
      <c r="E222" s="126"/>
      <c r="F222" s="126"/>
      <c r="G222" s="126"/>
      <c r="H222" s="126"/>
      <c r="I222" s="126"/>
      <c r="J222" s="126"/>
      <c r="K222" s="126"/>
      <c r="L222" s="126"/>
      <c r="M222" s="2"/>
      <c r="N222" s="2"/>
    </row>
    <row r="223" spans="1:14" ht="45" customHeight="1">
      <c r="A223" s="2"/>
      <c r="B223" s="2"/>
      <c r="C223" s="18" t="s">
        <v>176</v>
      </c>
      <c r="D223" s="127" t="s">
        <v>848</v>
      </c>
      <c r="E223" s="127"/>
      <c r="F223" s="127"/>
      <c r="G223" s="19" t="s">
        <v>818</v>
      </c>
      <c r="H223" s="127" t="s">
        <v>819</v>
      </c>
      <c r="I223" s="127"/>
      <c r="J223" s="19" t="s">
        <v>847</v>
      </c>
      <c r="K223" s="128" t="s">
        <v>821</v>
      </c>
      <c r="L223" s="127"/>
      <c r="M223" s="2"/>
      <c r="N223" s="2"/>
    </row>
    <row r="224" spans="1:14" ht="30" customHeight="1">
      <c r="A224" s="2"/>
      <c r="B224" s="2"/>
      <c r="C224" s="20" t="s">
        <v>822</v>
      </c>
      <c r="D224" s="126" t="s">
        <v>823</v>
      </c>
      <c r="E224" s="126"/>
      <c r="F224" s="126"/>
      <c r="G224" s="126"/>
      <c r="H224" s="126"/>
      <c r="I224" s="126"/>
      <c r="J224" s="126"/>
      <c r="K224" s="126"/>
      <c r="L224" s="126"/>
      <c r="M224" s="2"/>
      <c r="N224" s="2"/>
    </row>
    <row r="225" spans="1:14" ht="45" customHeight="1">
      <c r="A225" s="2"/>
      <c r="B225" s="2"/>
      <c r="C225" s="18" t="s">
        <v>178</v>
      </c>
      <c r="D225" s="127" t="s">
        <v>849</v>
      </c>
      <c r="E225" s="127"/>
      <c r="F225" s="127"/>
      <c r="G225" s="19" t="s">
        <v>818</v>
      </c>
      <c r="H225" s="127" t="s">
        <v>819</v>
      </c>
      <c r="I225" s="127"/>
      <c r="J225" s="19" t="s">
        <v>847</v>
      </c>
      <c r="K225" s="128" t="s">
        <v>821</v>
      </c>
      <c r="L225" s="127"/>
      <c r="M225" s="2"/>
      <c r="N225" s="2"/>
    </row>
    <row r="226" spans="1:14" ht="30" customHeight="1">
      <c r="A226" s="2"/>
      <c r="B226" s="2"/>
      <c r="C226" s="20" t="s">
        <v>822</v>
      </c>
      <c r="D226" s="126" t="s">
        <v>823</v>
      </c>
      <c r="E226" s="126"/>
      <c r="F226" s="126"/>
      <c r="G226" s="126"/>
      <c r="H226" s="126"/>
      <c r="I226" s="126"/>
      <c r="J226" s="126"/>
      <c r="K226" s="126"/>
      <c r="L226" s="126"/>
      <c r="M226" s="2"/>
      <c r="N226" s="2"/>
    </row>
    <row r="227" spans="1:14" ht="45" customHeight="1">
      <c r="A227" s="2"/>
      <c r="B227" s="2"/>
      <c r="C227" s="18" t="s">
        <v>180</v>
      </c>
      <c r="D227" s="127" t="s">
        <v>850</v>
      </c>
      <c r="E227" s="127"/>
      <c r="F227" s="127"/>
      <c r="G227" s="19" t="s">
        <v>818</v>
      </c>
      <c r="H227" s="127" t="s">
        <v>819</v>
      </c>
      <c r="I227" s="127"/>
      <c r="J227" s="19" t="s">
        <v>847</v>
      </c>
      <c r="K227" s="128" t="s">
        <v>821</v>
      </c>
      <c r="L227" s="127"/>
      <c r="M227" s="2"/>
      <c r="N227" s="2"/>
    </row>
    <row r="228" spans="1:14" ht="30" customHeight="1">
      <c r="A228" s="2"/>
      <c r="B228" s="2"/>
      <c r="C228" s="20" t="s">
        <v>822</v>
      </c>
      <c r="D228" s="126" t="s">
        <v>823</v>
      </c>
      <c r="E228" s="126"/>
      <c r="F228" s="126"/>
      <c r="G228" s="126"/>
      <c r="H228" s="126"/>
      <c r="I228" s="126"/>
      <c r="J228" s="126"/>
      <c r="K228" s="126"/>
      <c r="L228" s="126"/>
      <c r="M228" s="2"/>
      <c r="N228" s="2"/>
    </row>
    <row r="229" spans="1:14" ht="45" customHeight="1">
      <c r="A229" s="2"/>
      <c r="B229" s="2"/>
      <c r="C229" s="18" t="s">
        <v>182</v>
      </c>
      <c r="D229" s="127" t="s">
        <v>851</v>
      </c>
      <c r="E229" s="127"/>
      <c r="F229" s="127"/>
      <c r="G229" s="19" t="s">
        <v>818</v>
      </c>
      <c r="H229" s="127" t="s">
        <v>819</v>
      </c>
      <c r="I229" s="127"/>
      <c r="J229" s="19" t="s">
        <v>847</v>
      </c>
      <c r="K229" s="128" t="s">
        <v>821</v>
      </c>
      <c r="L229" s="127"/>
      <c r="M229" s="2"/>
      <c r="N229" s="2"/>
    </row>
    <row r="230" spans="1:14" ht="30" customHeight="1">
      <c r="A230" s="2"/>
      <c r="B230" s="2"/>
      <c r="C230" s="20" t="s">
        <v>822</v>
      </c>
      <c r="D230" s="126" t="s">
        <v>823</v>
      </c>
      <c r="E230" s="126"/>
      <c r="F230" s="126"/>
      <c r="G230" s="126"/>
      <c r="H230" s="126"/>
      <c r="I230" s="126"/>
      <c r="J230" s="126"/>
      <c r="K230" s="126"/>
      <c r="L230" s="126"/>
      <c r="M230" s="2"/>
      <c r="N230" s="2"/>
    </row>
    <row r="231" spans="1:14" ht="45" customHeight="1">
      <c r="A231" s="2"/>
      <c r="B231" s="2"/>
      <c r="C231" s="18" t="s">
        <v>184</v>
      </c>
      <c r="D231" s="127" t="s">
        <v>852</v>
      </c>
      <c r="E231" s="127"/>
      <c r="F231" s="127"/>
      <c r="G231" s="19" t="s">
        <v>818</v>
      </c>
      <c r="H231" s="127" t="s">
        <v>819</v>
      </c>
      <c r="I231" s="127"/>
      <c r="J231" s="19" t="s">
        <v>847</v>
      </c>
      <c r="K231" s="128" t="s">
        <v>821</v>
      </c>
      <c r="L231" s="127"/>
      <c r="M231" s="2"/>
      <c r="N231" s="2"/>
    </row>
    <row r="232" spans="1:14" ht="30" customHeight="1">
      <c r="A232" s="2"/>
      <c r="B232" s="2"/>
      <c r="C232" s="20" t="s">
        <v>822</v>
      </c>
      <c r="D232" s="126" t="s">
        <v>823</v>
      </c>
      <c r="E232" s="126"/>
      <c r="F232" s="126"/>
      <c r="G232" s="126"/>
      <c r="H232" s="126"/>
      <c r="I232" s="126"/>
      <c r="J232" s="126"/>
      <c r="K232" s="126"/>
      <c r="L232" s="126"/>
      <c r="M232" s="2"/>
      <c r="N232" s="2"/>
    </row>
    <row r="233" spans="1:14" ht="45" customHeight="1">
      <c r="A233" s="2"/>
      <c r="B233" s="2"/>
      <c r="C233" s="18" t="s">
        <v>186</v>
      </c>
      <c r="D233" s="127" t="s">
        <v>853</v>
      </c>
      <c r="E233" s="127"/>
      <c r="F233" s="127"/>
      <c r="G233" s="19" t="s">
        <v>818</v>
      </c>
      <c r="H233" s="127" t="s">
        <v>819</v>
      </c>
      <c r="I233" s="127"/>
      <c r="J233" s="19" t="s">
        <v>847</v>
      </c>
      <c r="K233" s="128" t="s">
        <v>821</v>
      </c>
      <c r="L233" s="127"/>
      <c r="M233" s="2"/>
      <c r="N233" s="2"/>
    </row>
    <row r="234" spans="1:14" ht="30" customHeight="1">
      <c r="A234" s="2"/>
      <c r="B234" s="2"/>
      <c r="C234" s="20" t="s">
        <v>822</v>
      </c>
      <c r="D234" s="126" t="s">
        <v>823</v>
      </c>
      <c r="E234" s="126"/>
      <c r="F234" s="126"/>
      <c r="G234" s="126"/>
      <c r="H234" s="126"/>
      <c r="I234" s="126"/>
      <c r="J234" s="126"/>
      <c r="K234" s="126"/>
      <c r="L234" s="126"/>
      <c r="M234" s="2"/>
      <c r="N234" s="2"/>
    </row>
    <row r="235" spans="1:14" ht="45" customHeight="1">
      <c r="A235" s="2"/>
      <c r="B235" s="2"/>
      <c r="C235" s="18" t="s">
        <v>189</v>
      </c>
      <c r="D235" s="127" t="s">
        <v>854</v>
      </c>
      <c r="E235" s="127"/>
      <c r="F235" s="127"/>
      <c r="G235" s="19" t="s">
        <v>818</v>
      </c>
      <c r="H235" s="127" t="s">
        <v>819</v>
      </c>
      <c r="I235" s="127"/>
      <c r="J235" s="19" t="s">
        <v>847</v>
      </c>
      <c r="K235" s="128" t="s">
        <v>821</v>
      </c>
      <c r="L235" s="127"/>
      <c r="M235" s="2"/>
      <c r="N235" s="2"/>
    </row>
    <row r="236" spans="1:14" ht="30" customHeight="1">
      <c r="A236" s="2"/>
      <c r="B236" s="2"/>
      <c r="C236" s="20" t="s">
        <v>822</v>
      </c>
      <c r="D236" s="126" t="s">
        <v>823</v>
      </c>
      <c r="E236" s="126"/>
      <c r="F236" s="126"/>
      <c r="G236" s="126"/>
      <c r="H236" s="126"/>
      <c r="I236" s="126"/>
      <c r="J236" s="126"/>
      <c r="K236" s="126"/>
      <c r="L236" s="126"/>
      <c r="M236" s="2"/>
      <c r="N236" s="2"/>
    </row>
    <row r="237" spans="1:14" ht="45" customHeight="1">
      <c r="A237" s="2"/>
      <c r="B237" s="2"/>
      <c r="C237" s="18" t="s">
        <v>191</v>
      </c>
      <c r="D237" s="127" t="s">
        <v>855</v>
      </c>
      <c r="E237" s="127"/>
      <c r="F237" s="127"/>
      <c r="G237" s="19" t="s">
        <v>818</v>
      </c>
      <c r="H237" s="127" t="s">
        <v>819</v>
      </c>
      <c r="I237" s="127"/>
      <c r="J237" s="19" t="s">
        <v>847</v>
      </c>
      <c r="K237" s="128" t="s">
        <v>821</v>
      </c>
      <c r="L237" s="127"/>
      <c r="M237" s="2"/>
      <c r="N237" s="2"/>
    </row>
    <row r="238" spans="1:14" ht="30" customHeight="1">
      <c r="A238" s="2"/>
      <c r="B238" s="2"/>
      <c r="C238" s="20" t="s">
        <v>822</v>
      </c>
      <c r="D238" s="126" t="s">
        <v>823</v>
      </c>
      <c r="E238" s="126"/>
      <c r="F238" s="126"/>
      <c r="G238" s="126"/>
      <c r="H238" s="126"/>
      <c r="I238" s="126"/>
      <c r="J238" s="126"/>
      <c r="K238" s="126"/>
      <c r="L238" s="126"/>
      <c r="M238" s="2"/>
      <c r="N238" s="2"/>
    </row>
    <row r="239" spans="1:14" ht="45" customHeight="1">
      <c r="A239" s="2"/>
      <c r="B239" s="2"/>
      <c r="C239" s="18" t="s">
        <v>193</v>
      </c>
      <c r="D239" s="127" t="s">
        <v>856</v>
      </c>
      <c r="E239" s="127"/>
      <c r="F239" s="127"/>
      <c r="G239" s="19" t="s">
        <v>818</v>
      </c>
      <c r="H239" s="127" t="s">
        <v>819</v>
      </c>
      <c r="I239" s="127"/>
      <c r="J239" s="19" t="s">
        <v>847</v>
      </c>
      <c r="K239" s="128" t="s">
        <v>821</v>
      </c>
      <c r="L239" s="127"/>
      <c r="M239" s="2"/>
      <c r="N239" s="2"/>
    </row>
    <row r="240" spans="1:14" ht="30" customHeight="1">
      <c r="A240" s="2"/>
      <c r="B240" s="2"/>
      <c r="C240" s="20" t="s">
        <v>822</v>
      </c>
      <c r="D240" s="126" t="s">
        <v>823</v>
      </c>
      <c r="E240" s="126"/>
      <c r="F240" s="126"/>
      <c r="G240" s="126"/>
      <c r="H240" s="126"/>
      <c r="I240" s="126"/>
      <c r="J240" s="126"/>
      <c r="K240" s="126"/>
      <c r="L240" s="126"/>
      <c r="M240" s="2"/>
      <c r="N240" s="2"/>
    </row>
    <row r="241" spans="1:14" ht="45" customHeight="1">
      <c r="A241" s="2"/>
      <c r="B241" s="2"/>
      <c r="C241" s="18" t="s">
        <v>195</v>
      </c>
      <c r="D241" s="127" t="s">
        <v>857</v>
      </c>
      <c r="E241" s="127"/>
      <c r="F241" s="127"/>
      <c r="G241" s="19" t="s">
        <v>818</v>
      </c>
      <c r="H241" s="127" t="s">
        <v>819</v>
      </c>
      <c r="I241" s="127"/>
      <c r="J241" s="19" t="s">
        <v>847</v>
      </c>
      <c r="K241" s="128" t="s">
        <v>821</v>
      </c>
      <c r="L241" s="127"/>
      <c r="M241" s="2"/>
      <c r="N241" s="2"/>
    </row>
    <row r="242" spans="1:14" ht="30" customHeight="1">
      <c r="A242" s="2"/>
      <c r="B242" s="2"/>
      <c r="C242" s="20" t="s">
        <v>822</v>
      </c>
      <c r="D242" s="126" t="s">
        <v>823</v>
      </c>
      <c r="E242" s="126"/>
      <c r="F242" s="126"/>
      <c r="G242" s="126"/>
      <c r="H242" s="126"/>
      <c r="I242" s="126"/>
      <c r="J242" s="126"/>
      <c r="K242" s="126"/>
      <c r="L242" s="126"/>
      <c r="M242" s="2"/>
      <c r="N242" s="2"/>
    </row>
    <row r="243" spans="1:14" ht="45" customHeight="1">
      <c r="A243" s="2"/>
      <c r="B243" s="2"/>
      <c r="C243" s="18" t="s">
        <v>197</v>
      </c>
      <c r="D243" s="127" t="s">
        <v>858</v>
      </c>
      <c r="E243" s="127"/>
      <c r="F243" s="127"/>
      <c r="G243" s="19" t="s">
        <v>818</v>
      </c>
      <c r="H243" s="127" t="s">
        <v>819</v>
      </c>
      <c r="I243" s="127"/>
      <c r="J243" s="19" t="s">
        <v>847</v>
      </c>
      <c r="K243" s="128" t="s">
        <v>821</v>
      </c>
      <c r="L243" s="127"/>
      <c r="M243" s="2"/>
      <c r="N243" s="2"/>
    </row>
    <row r="244" spans="1:14" ht="30" customHeight="1">
      <c r="A244" s="2"/>
      <c r="B244" s="2"/>
      <c r="C244" s="20" t="s">
        <v>822</v>
      </c>
      <c r="D244" s="126" t="s">
        <v>823</v>
      </c>
      <c r="E244" s="126"/>
      <c r="F244" s="126"/>
      <c r="G244" s="126"/>
      <c r="H244" s="126"/>
      <c r="I244" s="126"/>
      <c r="J244" s="126"/>
      <c r="K244" s="126"/>
      <c r="L244" s="126"/>
      <c r="M244" s="2"/>
      <c r="N244" s="2"/>
    </row>
    <row r="245" spans="1:14" ht="45" customHeight="1">
      <c r="A245" s="2"/>
      <c r="B245" s="2"/>
      <c r="C245" s="18" t="s">
        <v>199</v>
      </c>
      <c r="D245" s="127" t="s">
        <v>859</v>
      </c>
      <c r="E245" s="127"/>
      <c r="F245" s="127"/>
      <c r="G245" s="19" t="s">
        <v>818</v>
      </c>
      <c r="H245" s="127" t="s">
        <v>819</v>
      </c>
      <c r="I245" s="127"/>
      <c r="J245" s="19" t="s">
        <v>847</v>
      </c>
      <c r="K245" s="128" t="s">
        <v>821</v>
      </c>
      <c r="L245" s="127"/>
      <c r="M245" s="2"/>
      <c r="N245" s="2"/>
    </row>
    <row r="246" spans="1:14" ht="30" customHeight="1">
      <c r="A246" s="2"/>
      <c r="B246" s="2"/>
      <c r="C246" s="20" t="s">
        <v>822</v>
      </c>
      <c r="D246" s="126" t="s">
        <v>823</v>
      </c>
      <c r="E246" s="126"/>
      <c r="F246" s="126"/>
      <c r="G246" s="126"/>
      <c r="H246" s="126"/>
      <c r="I246" s="126"/>
      <c r="J246" s="126"/>
      <c r="K246" s="126"/>
      <c r="L246" s="126"/>
      <c r="M246" s="2"/>
      <c r="N246" s="2"/>
    </row>
    <row r="247" spans="1:14" ht="45" customHeight="1">
      <c r="A247" s="2"/>
      <c r="B247" s="2"/>
      <c r="C247" s="18" t="s">
        <v>201</v>
      </c>
      <c r="D247" s="127" t="s">
        <v>860</v>
      </c>
      <c r="E247" s="127"/>
      <c r="F247" s="127"/>
      <c r="G247" s="19" t="s">
        <v>818</v>
      </c>
      <c r="H247" s="127" t="s">
        <v>819</v>
      </c>
      <c r="I247" s="127"/>
      <c r="J247" s="19" t="s">
        <v>847</v>
      </c>
      <c r="K247" s="128" t="s">
        <v>821</v>
      </c>
      <c r="L247" s="127"/>
      <c r="M247" s="2"/>
      <c r="N247" s="2"/>
    </row>
    <row r="248" spans="1:14" ht="30" customHeight="1">
      <c r="A248" s="2"/>
      <c r="B248" s="2"/>
      <c r="C248" s="20" t="s">
        <v>822</v>
      </c>
      <c r="D248" s="126" t="s">
        <v>823</v>
      </c>
      <c r="E248" s="126"/>
      <c r="F248" s="126"/>
      <c r="G248" s="126"/>
      <c r="H248" s="126"/>
      <c r="I248" s="126"/>
      <c r="J248" s="126"/>
      <c r="K248" s="126"/>
      <c r="L248" s="126"/>
      <c r="M248" s="2"/>
      <c r="N248" s="2"/>
    </row>
    <row r="249" spans="1:14" ht="45" customHeight="1">
      <c r="A249" s="2"/>
      <c r="B249" s="2"/>
      <c r="C249" s="18" t="s">
        <v>203</v>
      </c>
      <c r="D249" s="127" t="s">
        <v>861</v>
      </c>
      <c r="E249" s="127"/>
      <c r="F249" s="127"/>
      <c r="G249" s="19" t="s">
        <v>818</v>
      </c>
      <c r="H249" s="127" t="s">
        <v>819</v>
      </c>
      <c r="I249" s="127"/>
      <c r="J249" s="19" t="s">
        <v>847</v>
      </c>
      <c r="K249" s="128" t="s">
        <v>821</v>
      </c>
      <c r="L249" s="127"/>
      <c r="M249" s="2"/>
      <c r="N249" s="2"/>
    </row>
    <row r="250" spans="1:14" ht="30" customHeight="1">
      <c r="A250" s="2"/>
      <c r="B250" s="2"/>
      <c r="C250" s="20" t="s">
        <v>822</v>
      </c>
      <c r="D250" s="126" t="s">
        <v>823</v>
      </c>
      <c r="E250" s="126"/>
      <c r="F250" s="126"/>
      <c r="G250" s="126"/>
      <c r="H250" s="126"/>
      <c r="I250" s="126"/>
      <c r="J250" s="126"/>
      <c r="K250" s="126"/>
      <c r="L250" s="126"/>
      <c r="M250" s="2"/>
      <c r="N250" s="2"/>
    </row>
    <row r="251" spans="1:14" ht="45" customHeight="1">
      <c r="A251" s="2"/>
      <c r="B251" s="2"/>
      <c r="C251" s="18" t="s">
        <v>207</v>
      </c>
      <c r="D251" s="127" t="s">
        <v>862</v>
      </c>
      <c r="E251" s="127"/>
      <c r="F251" s="127"/>
      <c r="G251" s="19" t="s">
        <v>818</v>
      </c>
      <c r="H251" s="127" t="s">
        <v>819</v>
      </c>
      <c r="I251" s="127"/>
      <c r="J251" s="19" t="s">
        <v>847</v>
      </c>
      <c r="K251" s="128" t="s">
        <v>821</v>
      </c>
      <c r="L251" s="127"/>
      <c r="M251" s="2"/>
      <c r="N251" s="2"/>
    </row>
    <row r="252" spans="1:14" ht="30" customHeight="1">
      <c r="A252" s="2"/>
      <c r="B252" s="2"/>
      <c r="C252" s="20" t="s">
        <v>822</v>
      </c>
      <c r="D252" s="126" t="s">
        <v>823</v>
      </c>
      <c r="E252" s="126"/>
      <c r="F252" s="126"/>
      <c r="G252" s="126"/>
      <c r="H252" s="126"/>
      <c r="I252" s="126"/>
      <c r="J252" s="126"/>
      <c r="K252" s="126"/>
      <c r="L252" s="126"/>
      <c r="M252" s="2"/>
      <c r="N252" s="2"/>
    </row>
    <row r="253" spans="1:14" ht="45" customHeight="1">
      <c r="A253" s="2"/>
      <c r="B253" s="2"/>
      <c r="C253" s="18" t="s">
        <v>209</v>
      </c>
      <c r="D253" s="127" t="s">
        <v>863</v>
      </c>
      <c r="E253" s="127"/>
      <c r="F253" s="127"/>
      <c r="G253" s="19" t="s">
        <v>818</v>
      </c>
      <c r="H253" s="127" t="s">
        <v>819</v>
      </c>
      <c r="I253" s="127"/>
      <c r="J253" s="19" t="s">
        <v>847</v>
      </c>
      <c r="K253" s="128" t="s">
        <v>821</v>
      </c>
      <c r="L253" s="127"/>
      <c r="M253" s="2"/>
      <c r="N253" s="2"/>
    </row>
    <row r="254" spans="1:14" ht="30" customHeight="1">
      <c r="A254" s="2"/>
      <c r="B254" s="2"/>
      <c r="C254" s="20" t="s">
        <v>822</v>
      </c>
      <c r="D254" s="126" t="s">
        <v>823</v>
      </c>
      <c r="E254" s="126"/>
      <c r="F254" s="126"/>
      <c r="G254" s="126"/>
      <c r="H254" s="126"/>
      <c r="I254" s="126"/>
      <c r="J254" s="126"/>
      <c r="K254" s="126"/>
      <c r="L254" s="126"/>
      <c r="M254" s="2"/>
      <c r="N254" s="2"/>
    </row>
    <row r="255" spans="1:14" ht="45" customHeight="1">
      <c r="A255" s="2"/>
      <c r="B255" s="2"/>
      <c r="C255" s="18" t="s">
        <v>211</v>
      </c>
      <c r="D255" s="127" t="s">
        <v>864</v>
      </c>
      <c r="E255" s="127"/>
      <c r="F255" s="127"/>
      <c r="G255" s="19" t="s">
        <v>818</v>
      </c>
      <c r="H255" s="127" t="s">
        <v>819</v>
      </c>
      <c r="I255" s="127"/>
      <c r="J255" s="19" t="s">
        <v>847</v>
      </c>
      <c r="K255" s="128" t="s">
        <v>821</v>
      </c>
      <c r="L255" s="127"/>
      <c r="M255" s="2"/>
      <c r="N255" s="2"/>
    </row>
    <row r="256" spans="1:14" ht="30" customHeight="1">
      <c r="A256" s="2"/>
      <c r="B256" s="2"/>
      <c r="C256" s="20" t="s">
        <v>822</v>
      </c>
      <c r="D256" s="126" t="s">
        <v>823</v>
      </c>
      <c r="E256" s="126"/>
      <c r="F256" s="126"/>
      <c r="G256" s="126"/>
      <c r="H256" s="126"/>
      <c r="I256" s="126"/>
      <c r="J256" s="126"/>
      <c r="K256" s="126"/>
      <c r="L256" s="126"/>
      <c r="M256" s="2"/>
      <c r="N256" s="2"/>
    </row>
    <row r="257" spans="1:14" ht="45" customHeight="1">
      <c r="A257" s="2"/>
      <c r="B257" s="2"/>
      <c r="C257" s="18" t="s">
        <v>213</v>
      </c>
      <c r="D257" s="127" t="s">
        <v>865</v>
      </c>
      <c r="E257" s="127"/>
      <c r="F257" s="127"/>
      <c r="G257" s="19" t="s">
        <v>818</v>
      </c>
      <c r="H257" s="127" t="s">
        <v>819</v>
      </c>
      <c r="I257" s="127"/>
      <c r="J257" s="19" t="s">
        <v>847</v>
      </c>
      <c r="K257" s="128" t="s">
        <v>821</v>
      </c>
      <c r="L257" s="127"/>
      <c r="M257" s="2"/>
      <c r="N257" s="2"/>
    </row>
    <row r="258" spans="1:14" ht="30" customHeight="1">
      <c r="A258" s="2"/>
      <c r="B258" s="2"/>
      <c r="C258" s="20" t="s">
        <v>822</v>
      </c>
      <c r="D258" s="126" t="s">
        <v>823</v>
      </c>
      <c r="E258" s="126"/>
      <c r="F258" s="126"/>
      <c r="G258" s="126"/>
      <c r="H258" s="126"/>
      <c r="I258" s="126"/>
      <c r="J258" s="126"/>
      <c r="K258" s="126"/>
      <c r="L258" s="126"/>
      <c r="M258" s="2"/>
      <c r="N258" s="2"/>
    </row>
    <row r="259" spans="1:14" ht="45" customHeight="1">
      <c r="A259" s="2"/>
      <c r="B259" s="2"/>
      <c r="C259" s="18" t="s">
        <v>215</v>
      </c>
      <c r="D259" s="127" t="s">
        <v>866</v>
      </c>
      <c r="E259" s="127"/>
      <c r="F259" s="127"/>
      <c r="G259" s="19" t="s">
        <v>818</v>
      </c>
      <c r="H259" s="127" t="s">
        <v>819</v>
      </c>
      <c r="I259" s="127"/>
      <c r="J259" s="19" t="s">
        <v>847</v>
      </c>
      <c r="K259" s="128" t="s">
        <v>821</v>
      </c>
      <c r="L259" s="127"/>
      <c r="M259" s="2"/>
      <c r="N259" s="2"/>
    </row>
    <row r="260" spans="1:14" ht="30" customHeight="1">
      <c r="A260" s="2"/>
      <c r="B260" s="2"/>
      <c r="C260" s="20" t="s">
        <v>822</v>
      </c>
      <c r="D260" s="126" t="s">
        <v>823</v>
      </c>
      <c r="E260" s="126"/>
      <c r="F260" s="126"/>
      <c r="G260" s="126"/>
      <c r="H260" s="126"/>
      <c r="I260" s="126"/>
      <c r="J260" s="126"/>
      <c r="K260" s="126"/>
      <c r="L260" s="126"/>
      <c r="M260" s="2"/>
      <c r="N260" s="2"/>
    </row>
    <row r="261" spans="1:14" ht="45" customHeight="1">
      <c r="A261" s="2"/>
      <c r="B261" s="2"/>
      <c r="C261" s="18" t="s">
        <v>217</v>
      </c>
      <c r="D261" s="127" t="s">
        <v>867</v>
      </c>
      <c r="E261" s="127"/>
      <c r="F261" s="127"/>
      <c r="G261" s="19" t="s">
        <v>818</v>
      </c>
      <c r="H261" s="127" t="s">
        <v>819</v>
      </c>
      <c r="I261" s="127"/>
      <c r="J261" s="19" t="s">
        <v>847</v>
      </c>
      <c r="K261" s="128" t="s">
        <v>821</v>
      </c>
      <c r="L261" s="127"/>
      <c r="M261" s="2"/>
      <c r="N261" s="2"/>
    </row>
    <row r="262" spans="1:14" ht="30" customHeight="1">
      <c r="A262" s="2"/>
      <c r="B262" s="2"/>
      <c r="C262" s="20" t="s">
        <v>822</v>
      </c>
      <c r="D262" s="126" t="s">
        <v>823</v>
      </c>
      <c r="E262" s="126"/>
      <c r="F262" s="126"/>
      <c r="G262" s="126"/>
      <c r="H262" s="126"/>
      <c r="I262" s="126"/>
      <c r="J262" s="126"/>
      <c r="K262" s="126"/>
      <c r="L262" s="126"/>
      <c r="M262" s="2"/>
      <c r="N262" s="2"/>
    </row>
    <row r="263" spans="1:14" ht="45" customHeight="1">
      <c r="A263" s="2"/>
      <c r="B263" s="2"/>
      <c r="C263" s="18" t="s">
        <v>219</v>
      </c>
      <c r="D263" s="127" t="s">
        <v>868</v>
      </c>
      <c r="E263" s="127"/>
      <c r="F263" s="127"/>
      <c r="G263" s="19" t="s">
        <v>818</v>
      </c>
      <c r="H263" s="127" t="s">
        <v>819</v>
      </c>
      <c r="I263" s="127"/>
      <c r="J263" s="19" t="s">
        <v>847</v>
      </c>
      <c r="K263" s="128" t="s">
        <v>821</v>
      </c>
      <c r="L263" s="127"/>
      <c r="M263" s="2"/>
      <c r="N263" s="2"/>
    </row>
    <row r="264" spans="1:14" ht="30" customHeight="1">
      <c r="A264" s="2"/>
      <c r="B264" s="2"/>
      <c r="C264" s="20" t="s">
        <v>822</v>
      </c>
      <c r="D264" s="126" t="s">
        <v>823</v>
      </c>
      <c r="E264" s="126"/>
      <c r="F264" s="126"/>
      <c r="G264" s="126"/>
      <c r="H264" s="126"/>
      <c r="I264" s="126"/>
      <c r="J264" s="126"/>
      <c r="K264" s="126"/>
      <c r="L264" s="126"/>
      <c r="M264" s="2"/>
      <c r="N264" s="2"/>
    </row>
    <row r="265" spans="1:14" ht="45" customHeight="1">
      <c r="A265" s="2"/>
      <c r="B265" s="2"/>
      <c r="C265" s="18" t="s">
        <v>222</v>
      </c>
      <c r="D265" s="127" t="s">
        <v>869</v>
      </c>
      <c r="E265" s="127"/>
      <c r="F265" s="127"/>
      <c r="G265" s="19" t="s">
        <v>818</v>
      </c>
      <c r="H265" s="127" t="s">
        <v>819</v>
      </c>
      <c r="I265" s="127"/>
      <c r="J265" s="19" t="s">
        <v>847</v>
      </c>
      <c r="K265" s="128" t="s">
        <v>821</v>
      </c>
      <c r="L265" s="127"/>
      <c r="M265" s="2"/>
      <c r="N265" s="2"/>
    </row>
    <row r="266" spans="1:14" ht="30" customHeight="1">
      <c r="A266" s="2"/>
      <c r="B266" s="2"/>
      <c r="C266" s="20" t="s">
        <v>822</v>
      </c>
      <c r="D266" s="126" t="s">
        <v>823</v>
      </c>
      <c r="E266" s="126"/>
      <c r="F266" s="126"/>
      <c r="G266" s="126"/>
      <c r="H266" s="126"/>
      <c r="I266" s="126"/>
      <c r="J266" s="126"/>
      <c r="K266" s="126"/>
      <c r="L266" s="126"/>
      <c r="M266" s="2"/>
      <c r="N266" s="2"/>
    </row>
    <row r="267" spans="1:14" ht="45" customHeight="1">
      <c r="A267" s="2"/>
      <c r="B267" s="2"/>
      <c r="C267" s="18" t="s">
        <v>224</v>
      </c>
      <c r="D267" s="127" t="s">
        <v>870</v>
      </c>
      <c r="E267" s="127"/>
      <c r="F267" s="127"/>
      <c r="G267" s="19" t="s">
        <v>818</v>
      </c>
      <c r="H267" s="127" t="s">
        <v>819</v>
      </c>
      <c r="I267" s="127"/>
      <c r="J267" s="19" t="s">
        <v>847</v>
      </c>
      <c r="K267" s="128" t="s">
        <v>821</v>
      </c>
      <c r="L267" s="127"/>
      <c r="M267" s="2"/>
      <c r="N267" s="2"/>
    </row>
    <row r="268" spans="1:14" ht="30" customHeight="1">
      <c r="A268" s="2"/>
      <c r="B268" s="2"/>
      <c r="C268" s="20" t="s">
        <v>822</v>
      </c>
      <c r="D268" s="126" t="s">
        <v>823</v>
      </c>
      <c r="E268" s="126"/>
      <c r="F268" s="126"/>
      <c r="G268" s="126"/>
      <c r="H268" s="126"/>
      <c r="I268" s="126"/>
      <c r="J268" s="126"/>
      <c r="K268" s="126"/>
      <c r="L268" s="126"/>
      <c r="M268" s="2"/>
      <c r="N268" s="2"/>
    </row>
    <row r="269" spans="1:14" ht="45" customHeight="1">
      <c r="A269" s="2"/>
      <c r="B269" s="2"/>
      <c r="C269" s="18" t="s">
        <v>226</v>
      </c>
      <c r="D269" s="127" t="s">
        <v>871</v>
      </c>
      <c r="E269" s="127"/>
      <c r="F269" s="127"/>
      <c r="G269" s="19" t="s">
        <v>818</v>
      </c>
      <c r="H269" s="127" t="s">
        <v>819</v>
      </c>
      <c r="I269" s="127"/>
      <c r="J269" s="19" t="s">
        <v>847</v>
      </c>
      <c r="K269" s="128" t="s">
        <v>821</v>
      </c>
      <c r="L269" s="127"/>
      <c r="M269" s="2"/>
      <c r="N269" s="2"/>
    </row>
    <row r="270" spans="1:14" ht="30" customHeight="1">
      <c r="A270" s="2"/>
      <c r="B270" s="2"/>
      <c r="C270" s="20" t="s">
        <v>822</v>
      </c>
      <c r="D270" s="126" t="s">
        <v>823</v>
      </c>
      <c r="E270" s="126"/>
      <c r="F270" s="126"/>
      <c r="G270" s="126"/>
      <c r="H270" s="126"/>
      <c r="I270" s="126"/>
      <c r="J270" s="126"/>
      <c r="K270" s="126"/>
      <c r="L270" s="126"/>
      <c r="M270" s="2"/>
      <c r="N270" s="2"/>
    </row>
    <row r="271" spans="1:14" ht="45" customHeight="1">
      <c r="A271" s="2"/>
      <c r="B271" s="2"/>
      <c r="C271" s="18" t="s">
        <v>228</v>
      </c>
      <c r="D271" s="127" t="s">
        <v>872</v>
      </c>
      <c r="E271" s="127"/>
      <c r="F271" s="127"/>
      <c r="G271" s="19" t="s">
        <v>818</v>
      </c>
      <c r="H271" s="127" t="s">
        <v>819</v>
      </c>
      <c r="I271" s="127"/>
      <c r="J271" s="19" t="s">
        <v>847</v>
      </c>
      <c r="K271" s="128" t="s">
        <v>821</v>
      </c>
      <c r="L271" s="127"/>
      <c r="M271" s="2"/>
      <c r="N271" s="2"/>
    </row>
    <row r="272" spans="1:14" ht="30" customHeight="1">
      <c r="A272" s="2"/>
      <c r="B272" s="2"/>
      <c r="C272" s="20" t="s">
        <v>822</v>
      </c>
      <c r="D272" s="126" t="s">
        <v>823</v>
      </c>
      <c r="E272" s="126"/>
      <c r="F272" s="126"/>
      <c r="G272" s="126"/>
      <c r="H272" s="126"/>
      <c r="I272" s="126"/>
      <c r="J272" s="126"/>
      <c r="K272" s="126"/>
      <c r="L272" s="126"/>
      <c r="M272" s="2"/>
      <c r="N272" s="2"/>
    </row>
    <row r="273" spans="1:14" ht="45" customHeight="1">
      <c r="A273" s="2"/>
      <c r="B273" s="2"/>
      <c r="C273" s="18" t="s">
        <v>230</v>
      </c>
      <c r="D273" s="127" t="s">
        <v>873</v>
      </c>
      <c r="E273" s="127"/>
      <c r="F273" s="127"/>
      <c r="G273" s="19" t="s">
        <v>818</v>
      </c>
      <c r="H273" s="127" t="s">
        <v>819</v>
      </c>
      <c r="I273" s="127"/>
      <c r="J273" s="19" t="s">
        <v>847</v>
      </c>
      <c r="K273" s="128" t="s">
        <v>821</v>
      </c>
      <c r="L273" s="127"/>
      <c r="M273" s="2"/>
      <c r="N273" s="2"/>
    </row>
    <row r="274" spans="1:14" ht="30" customHeight="1">
      <c r="A274" s="2"/>
      <c r="B274" s="2"/>
      <c r="C274" s="20" t="s">
        <v>822</v>
      </c>
      <c r="D274" s="126" t="s">
        <v>823</v>
      </c>
      <c r="E274" s="126"/>
      <c r="F274" s="126"/>
      <c r="G274" s="126"/>
      <c r="H274" s="126"/>
      <c r="I274" s="126"/>
      <c r="J274" s="126"/>
      <c r="K274" s="126"/>
      <c r="L274" s="126"/>
      <c r="M274" s="2"/>
      <c r="N274" s="2"/>
    </row>
    <row r="275" spans="1:14" ht="45" customHeight="1">
      <c r="A275" s="2"/>
      <c r="B275" s="2"/>
      <c r="C275" s="18" t="s">
        <v>232</v>
      </c>
      <c r="D275" s="127" t="s">
        <v>874</v>
      </c>
      <c r="E275" s="127"/>
      <c r="F275" s="127"/>
      <c r="G275" s="19" t="s">
        <v>818</v>
      </c>
      <c r="H275" s="127" t="s">
        <v>819</v>
      </c>
      <c r="I275" s="127"/>
      <c r="J275" s="19" t="s">
        <v>847</v>
      </c>
      <c r="K275" s="128" t="s">
        <v>821</v>
      </c>
      <c r="L275" s="127"/>
      <c r="M275" s="2"/>
      <c r="N275" s="2"/>
    </row>
    <row r="276" spans="1:14" ht="30" customHeight="1">
      <c r="A276" s="2"/>
      <c r="B276" s="2"/>
      <c r="C276" s="20" t="s">
        <v>822</v>
      </c>
      <c r="D276" s="126" t="s">
        <v>823</v>
      </c>
      <c r="E276" s="126"/>
      <c r="F276" s="126"/>
      <c r="G276" s="126"/>
      <c r="H276" s="126"/>
      <c r="I276" s="126"/>
      <c r="J276" s="126"/>
      <c r="K276" s="126"/>
      <c r="L276" s="126"/>
      <c r="M276" s="2"/>
      <c r="N276" s="2"/>
    </row>
    <row r="277" spans="1:14" ht="45" customHeight="1">
      <c r="A277" s="2"/>
      <c r="B277" s="2"/>
      <c r="C277" s="18" t="s">
        <v>234</v>
      </c>
      <c r="D277" s="127" t="s">
        <v>875</v>
      </c>
      <c r="E277" s="127"/>
      <c r="F277" s="127"/>
      <c r="G277" s="19" t="s">
        <v>818</v>
      </c>
      <c r="H277" s="127" t="s">
        <v>819</v>
      </c>
      <c r="I277" s="127"/>
      <c r="J277" s="19" t="s">
        <v>847</v>
      </c>
      <c r="K277" s="128" t="s">
        <v>821</v>
      </c>
      <c r="L277" s="127"/>
      <c r="M277" s="2"/>
      <c r="N277" s="2"/>
    </row>
    <row r="278" spans="1:14" ht="30" customHeight="1">
      <c r="A278" s="2"/>
      <c r="B278" s="2"/>
      <c r="C278" s="20" t="s">
        <v>822</v>
      </c>
      <c r="D278" s="126" t="s">
        <v>823</v>
      </c>
      <c r="E278" s="126"/>
      <c r="F278" s="126"/>
      <c r="G278" s="126"/>
      <c r="H278" s="126"/>
      <c r="I278" s="126"/>
      <c r="J278" s="126"/>
      <c r="K278" s="126"/>
      <c r="L278" s="126"/>
      <c r="M278" s="2"/>
      <c r="N278" s="2"/>
    </row>
    <row r="279" spans="1:14" ht="45" customHeight="1">
      <c r="A279" s="2"/>
      <c r="B279" s="2"/>
      <c r="C279" s="18" t="s">
        <v>236</v>
      </c>
      <c r="D279" s="127" t="s">
        <v>876</v>
      </c>
      <c r="E279" s="127"/>
      <c r="F279" s="127"/>
      <c r="G279" s="19" t="s">
        <v>818</v>
      </c>
      <c r="H279" s="127" t="s">
        <v>819</v>
      </c>
      <c r="I279" s="127"/>
      <c r="J279" s="19" t="s">
        <v>847</v>
      </c>
      <c r="K279" s="128" t="s">
        <v>821</v>
      </c>
      <c r="L279" s="127"/>
      <c r="M279" s="2"/>
      <c r="N279" s="2"/>
    </row>
    <row r="280" spans="1:14" ht="30" customHeight="1">
      <c r="A280" s="2"/>
      <c r="B280" s="2"/>
      <c r="C280" s="20" t="s">
        <v>822</v>
      </c>
      <c r="D280" s="126" t="s">
        <v>823</v>
      </c>
      <c r="E280" s="126"/>
      <c r="F280" s="126"/>
      <c r="G280" s="126"/>
      <c r="H280" s="126"/>
      <c r="I280" s="126"/>
      <c r="J280" s="126"/>
      <c r="K280" s="126"/>
      <c r="L280" s="126"/>
      <c r="M280" s="2"/>
      <c r="N280" s="2"/>
    </row>
    <row r="281" spans="1:14" ht="45" customHeight="1">
      <c r="A281" s="2"/>
      <c r="B281" s="2"/>
      <c r="C281" s="18" t="s">
        <v>238</v>
      </c>
      <c r="D281" s="127" t="s">
        <v>877</v>
      </c>
      <c r="E281" s="127"/>
      <c r="F281" s="127"/>
      <c r="G281" s="19" t="s">
        <v>818</v>
      </c>
      <c r="H281" s="127" t="s">
        <v>819</v>
      </c>
      <c r="I281" s="127"/>
      <c r="J281" s="19" t="s">
        <v>847</v>
      </c>
      <c r="K281" s="128" t="s">
        <v>821</v>
      </c>
      <c r="L281" s="127"/>
      <c r="M281" s="2"/>
      <c r="N281" s="2"/>
    </row>
    <row r="282" spans="1:14" ht="30" customHeight="1">
      <c r="A282" s="2"/>
      <c r="B282" s="2"/>
      <c r="C282" s="20" t="s">
        <v>822</v>
      </c>
      <c r="D282" s="126" t="s">
        <v>823</v>
      </c>
      <c r="E282" s="126"/>
      <c r="F282" s="126"/>
      <c r="G282" s="126"/>
      <c r="H282" s="126"/>
      <c r="I282" s="126"/>
      <c r="J282" s="126"/>
      <c r="K282" s="126"/>
      <c r="L282" s="126"/>
      <c r="M282" s="2"/>
      <c r="N282" s="2"/>
    </row>
    <row r="283" spans="1:14" ht="45" customHeight="1">
      <c r="A283" s="2"/>
      <c r="B283" s="2"/>
      <c r="C283" s="18" t="s">
        <v>241</v>
      </c>
      <c r="D283" s="127" t="s">
        <v>878</v>
      </c>
      <c r="E283" s="127"/>
      <c r="F283" s="127"/>
      <c r="G283" s="19" t="s">
        <v>818</v>
      </c>
      <c r="H283" s="127" t="s">
        <v>819</v>
      </c>
      <c r="I283" s="127"/>
      <c r="J283" s="19" t="s">
        <v>847</v>
      </c>
      <c r="K283" s="128" t="s">
        <v>821</v>
      </c>
      <c r="L283" s="127"/>
      <c r="M283" s="2"/>
      <c r="N283" s="2"/>
    </row>
    <row r="284" spans="1:14" ht="30" customHeight="1">
      <c r="A284" s="2"/>
      <c r="B284" s="2"/>
      <c r="C284" s="20" t="s">
        <v>822</v>
      </c>
      <c r="D284" s="126" t="s">
        <v>823</v>
      </c>
      <c r="E284" s="126"/>
      <c r="F284" s="126"/>
      <c r="G284" s="126"/>
      <c r="H284" s="126"/>
      <c r="I284" s="126"/>
      <c r="J284" s="126"/>
      <c r="K284" s="126"/>
      <c r="L284" s="126"/>
      <c r="M284" s="2"/>
      <c r="N284" s="2"/>
    </row>
    <row r="285" spans="1:14" ht="45" customHeight="1">
      <c r="A285" s="2"/>
      <c r="B285" s="2"/>
      <c r="C285" s="18" t="s">
        <v>243</v>
      </c>
      <c r="D285" s="127" t="s">
        <v>879</v>
      </c>
      <c r="E285" s="127"/>
      <c r="F285" s="127"/>
      <c r="G285" s="19" t="s">
        <v>818</v>
      </c>
      <c r="H285" s="127" t="s">
        <v>819</v>
      </c>
      <c r="I285" s="127"/>
      <c r="J285" s="19" t="s">
        <v>847</v>
      </c>
      <c r="K285" s="128" t="s">
        <v>821</v>
      </c>
      <c r="L285" s="127"/>
      <c r="M285" s="2"/>
      <c r="N285" s="2"/>
    </row>
    <row r="286" spans="1:14" ht="30" customHeight="1">
      <c r="A286" s="2"/>
      <c r="B286" s="2"/>
      <c r="C286" s="20" t="s">
        <v>822</v>
      </c>
      <c r="D286" s="126" t="s">
        <v>823</v>
      </c>
      <c r="E286" s="126"/>
      <c r="F286" s="126"/>
      <c r="G286" s="126"/>
      <c r="H286" s="126"/>
      <c r="I286" s="126"/>
      <c r="J286" s="126"/>
      <c r="K286" s="126"/>
      <c r="L286" s="126"/>
      <c r="M286" s="2"/>
      <c r="N286" s="2"/>
    </row>
    <row r="287" spans="1:14" ht="45" customHeight="1">
      <c r="A287" s="2"/>
      <c r="B287" s="2"/>
      <c r="C287" s="18" t="s">
        <v>245</v>
      </c>
      <c r="D287" s="127" t="s">
        <v>880</v>
      </c>
      <c r="E287" s="127"/>
      <c r="F287" s="127"/>
      <c r="G287" s="19" t="s">
        <v>818</v>
      </c>
      <c r="H287" s="127" t="s">
        <v>819</v>
      </c>
      <c r="I287" s="127"/>
      <c r="J287" s="19" t="s">
        <v>847</v>
      </c>
      <c r="K287" s="128" t="s">
        <v>821</v>
      </c>
      <c r="L287" s="127"/>
      <c r="M287" s="2"/>
      <c r="N287" s="2"/>
    </row>
    <row r="288" spans="1:14" ht="30" customHeight="1">
      <c r="A288" s="2"/>
      <c r="B288" s="2"/>
      <c r="C288" s="20" t="s">
        <v>822</v>
      </c>
      <c r="D288" s="126" t="s">
        <v>823</v>
      </c>
      <c r="E288" s="126"/>
      <c r="F288" s="126"/>
      <c r="G288" s="126"/>
      <c r="H288" s="126"/>
      <c r="I288" s="126"/>
      <c r="J288" s="126"/>
      <c r="K288" s="126"/>
      <c r="L288" s="126"/>
      <c r="M288" s="2"/>
      <c r="N288" s="2"/>
    </row>
    <row r="289" spans="1:14" ht="45" customHeight="1">
      <c r="A289" s="2"/>
      <c r="B289" s="2"/>
      <c r="C289" s="18" t="s">
        <v>247</v>
      </c>
      <c r="D289" s="127" t="s">
        <v>881</v>
      </c>
      <c r="E289" s="127"/>
      <c r="F289" s="127"/>
      <c r="G289" s="19" t="s">
        <v>818</v>
      </c>
      <c r="H289" s="127" t="s">
        <v>819</v>
      </c>
      <c r="I289" s="127"/>
      <c r="J289" s="19" t="s">
        <v>847</v>
      </c>
      <c r="K289" s="128" t="s">
        <v>821</v>
      </c>
      <c r="L289" s="127"/>
      <c r="M289" s="2"/>
      <c r="N289" s="2"/>
    </row>
    <row r="290" spans="1:14" ht="30" customHeight="1">
      <c r="A290" s="2"/>
      <c r="B290" s="2"/>
      <c r="C290" s="20" t="s">
        <v>822</v>
      </c>
      <c r="D290" s="126" t="s">
        <v>823</v>
      </c>
      <c r="E290" s="126"/>
      <c r="F290" s="126"/>
      <c r="G290" s="126"/>
      <c r="H290" s="126"/>
      <c r="I290" s="126"/>
      <c r="J290" s="126"/>
      <c r="K290" s="126"/>
      <c r="L290" s="126"/>
      <c r="M290" s="2"/>
      <c r="N290" s="2"/>
    </row>
    <row r="291" spans="1:14" ht="45" customHeight="1">
      <c r="A291" s="2"/>
      <c r="B291" s="2"/>
      <c r="C291" s="18" t="s">
        <v>249</v>
      </c>
      <c r="D291" s="127" t="s">
        <v>882</v>
      </c>
      <c r="E291" s="127"/>
      <c r="F291" s="127"/>
      <c r="G291" s="19" t="s">
        <v>818</v>
      </c>
      <c r="H291" s="127" t="s">
        <v>819</v>
      </c>
      <c r="I291" s="127"/>
      <c r="J291" s="19" t="s">
        <v>847</v>
      </c>
      <c r="K291" s="128" t="s">
        <v>821</v>
      </c>
      <c r="L291" s="127"/>
      <c r="M291" s="2"/>
      <c r="N291" s="2"/>
    </row>
    <row r="292" spans="1:14" ht="30" customHeight="1">
      <c r="A292" s="2"/>
      <c r="B292" s="2"/>
      <c r="C292" s="20" t="s">
        <v>822</v>
      </c>
      <c r="D292" s="126" t="s">
        <v>823</v>
      </c>
      <c r="E292" s="126"/>
      <c r="F292" s="126"/>
      <c r="G292" s="126"/>
      <c r="H292" s="126"/>
      <c r="I292" s="126"/>
      <c r="J292" s="126"/>
      <c r="K292" s="126"/>
      <c r="L292" s="126"/>
      <c r="M292" s="2"/>
      <c r="N292" s="2"/>
    </row>
    <row r="293" spans="1:14" ht="45" customHeight="1">
      <c r="A293" s="2"/>
      <c r="B293" s="2"/>
      <c r="C293" s="18" t="s">
        <v>251</v>
      </c>
      <c r="D293" s="127" t="s">
        <v>883</v>
      </c>
      <c r="E293" s="127"/>
      <c r="F293" s="127"/>
      <c r="G293" s="19" t="s">
        <v>818</v>
      </c>
      <c r="H293" s="127" t="s">
        <v>819</v>
      </c>
      <c r="I293" s="127"/>
      <c r="J293" s="19" t="s">
        <v>847</v>
      </c>
      <c r="K293" s="128" t="s">
        <v>821</v>
      </c>
      <c r="L293" s="127"/>
      <c r="M293" s="2"/>
      <c r="N293" s="2"/>
    </row>
    <row r="294" spans="1:14" ht="30" customHeight="1">
      <c r="A294" s="2"/>
      <c r="B294" s="2"/>
      <c r="C294" s="20" t="s">
        <v>822</v>
      </c>
      <c r="D294" s="126" t="s">
        <v>823</v>
      </c>
      <c r="E294" s="126"/>
      <c r="F294" s="126"/>
      <c r="G294" s="126"/>
      <c r="H294" s="126"/>
      <c r="I294" s="126"/>
      <c r="J294" s="126"/>
      <c r="K294" s="126"/>
      <c r="L294" s="126"/>
      <c r="M294" s="2"/>
      <c r="N294" s="2"/>
    </row>
    <row r="295" spans="1:14" ht="45" customHeight="1">
      <c r="A295" s="2"/>
      <c r="B295" s="2"/>
      <c r="C295" s="18" t="s">
        <v>253</v>
      </c>
      <c r="D295" s="127" t="s">
        <v>884</v>
      </c>
      <c r="E295" s="127"/>
      <c r="F295" s="127"/>
      <c r="G295" s="19" t="s">
        <v>818</v>
      </c>
      <c r="H295" s="127" t="s">
        <v>819</v>
      </c>
      <c r="I295" s="127"/>
      <c r="J295" s="19" t="s">
        <v>847</v>
      </c>
      <c r="K295" s="128" t="s">
        <v>821</v>
      </c>
      <c r="L295" s="127"/>
      <c r="M295" s="2"/>
      <c r="N295" s="2"/>
    </row>
    <row r="296" spans="1:14" ht="30" customHeight="1">
      <c r="A296" s="2"/>
      <c r="B296" s="2"/>
      <c r="C296" s="20" t="s">
        <v>822</v>
      </c>
      <c r="D296" s="126" t="s">
        <v>823</v>
      </c>
      <c r="E296" s="126"/>
      <c r="F296" s="126"/>
      <c r="G296" s="126"/>
      <c r="H296" s="126"/>
      <c r="I296" s="126"/>
      <c r="J296" s="126"/>
      <c r="K296" s="126"/>
      <c r="L296" s="126"/>
      <c r="M296" s="2"/>
      <c r="N296" s="2"/>
    </row>
    <row r="297" spans="1:14" ht="45" customHeight="1">
      <c r="A297" s="2"/>
      <c r="B297" s="2"/>
      <c r="C297" s="18" t="s">
        <v>255</v>
      </c>
      <c r="D297" s="127" t="s">
        <v>885</v>
      </c>
      <c r="E297" s="127"/>
      <c r="F297" s="127"/>
      <c r="G297" s="19" t="s">
        <v>818</v>
      </c>
      <c r="H297" s="127" t="s">
        <v>819</v>
      </c>
      <c r="I297" s="127"/>
      <c r="J297" s="19" t="s">
        <v>847</v>
      </c>
      <c r="K297" s="128" t="s">
        <v>821</v>
      </c>
      <c r="L297" s="127"/>
      <c r="M297" s="2"/>
      <c r="N297" s="2"/>
    </row>
    <row r="298" spans="1:14" ht="30" customHeight="1">
      <c r="A298" s="2"/>
      <c r="B298" s="2"/>
      <c r="C298" s="20" t="s">
        <v>822</v>
      </c>
      <c r="D298" s="126" t="s">
        <v>823</v>
      </c>
      <c r="E298" s="126"/>
      <c r="F298" s="126"/>
      <c r="G298" s="126"/>
      <c r="H298" s="126"/>
      <c r="I298" s="126"/>
      <c r="J298" s="126"/>
      <c r="K298" s="126"/>
      <c r="L298" s="126"/>
      <c r="M298" s="2"/>
      <c r="N298" s="2"/>
    </row>
    <row r="299" spans="1:14" ht="45" customHeight="1">
      <c r="A299" s="2"/>
      <c r="B299" s="2"/>
      <c r="C299" s="18" t="s">
        <v>257</v>
      </c>
      <c r="D299" s="127" t="s">
        <v>886</v>
      </c>
      <c r="E299" s="127"/>
      <c r="F299" s="127"/>
      <c r="G299" s="19" t="s">
        <v>818</v>
      </c>
      <c r="H299" s="127" t="s">
        <v>819</v>
      </c>
      <c r="I299" s="127"/>
      <c r="J299" s="19" t="s">
        <v>847</v>
      </c>
      <c r="K299" s="128" t="s">
        <v>821</v>
      </c>
      <c r="L299" s="127"/>
      <c r="M299" s="2"/>
      <c r="N299" s="2"/>
    </row>
    <row r="300" spans="1:14" ht="30" customHeight="1">
      <c r="A300" s="2"/>
      <c r="B300" s="2"/>
      <c r="C300" s="20" t="s">
        <v>822</v>
      </c>
      <c r="D300" s="126" t="s">
        <v>823</v>
      </c>
      <c r="E300" s="126"/>
      <c r="F300" s="126"/>
      <c r="G300" s="126"/>
      <c r="H300" s="126"/>
      <c r="I300" s="126"/>
      <c r="J300" s="126"/>
      <c r="K300" s="126"/>
      <c r="L300" s="126"/>
      <c r="M300" s="2"/>
      <c r="N300" s="2"/>
    </row>
    <row r="301" spans="1:14" ht="45" customHeight="1">
      <c r="A301" s="2"/>
      <c r="B301" s="2"/>
      <c r="C301" s="18" t="s">
        <v>259</v>
      </c>
      <c r="D301" s="127" t="s">
        <v>887</v>
      </c>
      <c r="E301" s="127"/>
      <c r="F301" s="127"/>
      <c r="G301" s="19" t="s">
        <v>818</v>
      </c>
      <c r="H301" s="127" t="s">
        <v>819</v>
      </c>
      <c r="I301" s="127"/>
      <c r="J301" s="19" t="s">
        <v>847</v>
      </c>
      <c r="K301" s="128" t="s">
        <v>821</v>
      </c>
      <c r="L301" s="127"/>
      <c r="M301" s="2"/>
      <c r="N301" s="2"/>
    </row>
    <row r="302" spans="1:14" ht="30" customHeight="1">
      <c r="A302" s="2"/>
      <c r="B302" s="2"/>
      <c r="C302" s="20" t="s">
        <v>822</v>
      </c>
      <c r="D302" s="126" t="s">
        <v>823</v>
      </c>
      <c r="E302" s="126"/>
      <c r="F302" s="126"/>
      <c r="G302" s="126"/>
      <c r="H302" s="126"/>
      <c r="I302" s="126"/>
      <c r="J302" s="126"/>
      <c r="K302" s="126"/>
      <c r="L302" s="126"/>
      <c r="M302" s="2"/>
      <c r="N302" s="2"/>
    </row>
    <row r="303" spans="1:14" ht="45" customHeight="1">
      <c r="A303" s="2"/>
      <c r="B303" s="2"/>
      <c r="C303" s="18" t="s">
        <v>261</v>
      </c>
      <c r="D303" s="127" t="s">
        <v>888</v>
      </c>
      <c r="E303" s="127"/>
      <c r="F303" s="127"/>
      <c r="G303" s="19" t="s">
        <v>818</v>
      </c>
      <c r="H303" s="127" t="s">
        <v>819</v>
      </c>
      <c r="I303" s="127"/>
      <c r="J303" s="19" t="s">
        <v>847</v>
      </c>
      <c r="K303" s="128" t="s">
        <v>821</v>
      </c>
      <c r="L303" s="127"/>
      <c r="M303" s="2"/>
      <c r="N303" s="2"/>
    </row>
    <row r="304" spans="1:14" ht="30" customHeight="1">
      <c r="A304" s="2"/>
      <c r="B304" s="2"/>
      <c r="C304" s="20" t="s">
        <v>822</v>
      </c>
      <c r="D304" s="126" t="s">
        <v>823</v>
      </c>
      <c r="E304" s="126"/>
      <c r="F304" s="126"/>
      <c r="G304" s="126"/>
      <c r="H304" s="126"/>
      <c r="I304" s="126"/>
      <c r="J304" s="126"/>
      <c r="K304" s="126"/>
      <c r="L304" s="126"/>
      <c r="M304" s="2"/>
      <c r="N304" s="2"/>
    </row>
    <row r="305" spans="1:14" ht="45" customHeight="1">
      <c r="A305" s="2"/>
      <c r="B305" s="2"/>
      <c r="C305" s="18" t="s">
        <v>263</v>
      </c>
      <c r="D305" s="127" t="s">
        <v>889</v>
      </c>
      <c r="E305" s="127"/>
      <c r="F305" s="127"/>
      <c r="G305" s="19" t="s">
        <v>818</v>
      </c>
      <c r="H305" s="127" t="s">
        <v>819</v>
      </c>
      <c r="I305" s="127"/>
      <c r="J305" s="19" t="s">
        <v>847</v>
      </c>
      <c r="K305" s="128" t="s">
        <v>821</v>
      </c>
      <c r="L305" s="127"/>
      <c r="M305" s="2"/>
      <c r="N305" s="2"/>
    </row>
    <row r="306" spans="1:14" ht="30" customHeight="1">
      <c r="A306" s="2"/>
      <c r="B306" s="2"/>
      <c r="C306" s="20" t="s">
        <v>822</v>
      </c>
      <c r="D306" s="126" t="s">
        <v>823</v>
      </c>
      <c r="E306" s="126"/>
      <c r="F306" s="126"/>
      <c r="G306" s="126"/>
      <c r="H306" s="126"/>
      <c r="I306" s="126"/>
      <c r="J306" s="126"/>
      <c r="K306" s="126"/>
      <c r="L306" s="126"/>
      <c r="M306" s="2"/>
      <c r="N306" s="2"/>
    </row>
    <row r="307" spans="1:14" ht="45" customHeight="1">
      <c r="A307" s="2"/>
      <c r="B307" s="2"/>
      <c r="C307" s="18" t="s">
        <v>270</v>
      </c>
      <c r="D307" s="127" t="s">
        <v>890</v>
      </c>
      <c r="E307" s="127"/>
      <c r="F307" s="127"/>
      <c r="G307" s="19" t="s">
        <v>818</v>
      </c>
      <c r="H307" s="127" t="s">
        <v>819</v>
      </c>
      <c r="I307" s="127"/>
      <c r="J307" s="19" t="s">
        <v>891</v>
      </c>
      <c r="K307" s="128" t="s">
        <v>821</v>
      </c>
      <c r="L307" s="127"/>
      <c r="M307" s="2"/>
      <c r="N307" s="2"/>
    </row>
    <row r="308" spans="1:14" ht="30" customHeight="1">
      <c r="A308" s="2"/>
      <c r="B308" s="2"/>
      <c r="C308" s="20" t="s">
        <v>822</v>
      </c>
      <c r="D308" s="126" t="s">
        <v>823</v>
      </c>
      <c r="E308" s="126"/>
      <c r="F308" s="126"/>
      <c r="G308" s="126"/>
      <c r="H308" s="126"/>
      <c r="I308" s="126"/>
      <c r="J308" s="126"/>
      <c r="K308" s="126"/>
      <c r="L308" s="126"/>
      <c r="M308" s="2"/>
      <c r="N308" s="2"/>
    </row>
    <row r="309" spans="1:14" ht="45" customHeight="1">
      <c r="A309" s="2"/>
      <c r="B309" s="2"/>
      <c r="C309" s="18" t="s">
        <v>272</v>
      </c>
      <c r="D309" s="127" t="s">
        <v>892</v>
      </c>
      <c r="E309" s="127"/>
      <c r="F309" s="127"/>
      <c r="G309" s="19" t="s">
        <v>818</v>
      </c>
      <c r="H309" s="127" t="s">
        <v>819</v>
      </c>
      <c r="I309" s="127"/>
      <c r="J309" s="19" t="s">
        <v>891</v>
      </c>
      <c r="K309" s="128" t="s">
        <v>821</v>
      </c>
      <c r="L309" s="127"/>
      <c r="M309" s="2"/>
      <c r="N309" s="2"/>
    </row>
    <row r="310" spans="1:14" ht="30" customHeight="1">
      <c r="A310" s="2"/>
      <c r="B310" s="2"/>
      <c r="C310" s="20" t="s">
        <v>822</v>
      </c>
      <c r="D310" s="126" t="s">
        <v>823</v>
      </c>
      <c r="E310" s="126"/>
      <c r="F310" s="126"/>
      <c r="G310" s="126"/>
      <c r="H310" s="126"/>
      <c r="I310" s="126"/>
      <c r="J310" s="126"/>
      <c r="K310" s="126"/>
      <c r="L310" s="126"/>
      <c r="M310" s="2"/>
      <c r="N310" s="2"/>
    </row>
    <row r="311" spans="1:14" ht="45" customHeight="1">
      <c r="A311" s="2"/>
      <c r="B311" s="2"/>
      <c r="C311" s="18" t="s">
        <v>274</v>
      </c>
      <c r="D311" s="127" t="s">
        <v>893</v>
      </c>
      <c r="E311" s="127"/>
      <c r="F311" s="127"/>
      <c r="G311" s="19" t="s">
        <v>818</v>
      </c>
      <c r="H311" s="127" t="s">
        <v>819</v>
      </c>
      <c r="I311" s="127"/>
      <c r="J311" s="19" t="s">
        <v>891</v>
      </c>
      <c r="K311" s="128" t="s">
        <v>821</v>
      </c>
      <c r="L311" s="127"/>
      <c r="M311" s="2"/>
      <c r="N311" s="2"/>
    </row>
    <row r="312" spans="1:14" ht="30" customHeight="1">
      <c r="A312" s="2"/>
      <c r="B312" s="2"/>
      <c r="C312" s="20" t="s">
        <v>822</v>
      </c>
      <c r="D312" s="126" t="s">
        <v>823</v>
      </c>
      <c r="E312" s="126"/>
      <c r="F312" s="126"/>
      <c r="G312" s="126"/>
      <c r="H312" s="126"/>
      <c r="I312" s="126"/>
      <c r="J312" s="126"/>
      <c r="K312" s="126"/>
      <c r="L312" s="126"/>
      <c r="M312" s="2"/>
      <c r="N312" s="2"/>
    </row>
    <row r="313" spans="1:14" ht="45" customHeight="1">
      <c r="A313" s="2"/>
      <c r="B313" s="2"/>
      <c r="C313" s="18" t="s">
        <v>277</v>
      </c>
      <c r="D313" s="127" t="s">
        <v>894</v>
      </c>
      <c r="E313" s="127"/>
      <c r="F313" s="127"/>
      <c r="G313" s="19" t="s">
        <v>818</v>
      </c>
      <c r="H313" s="127" t="s">
        <v>819</v>
      </c>
      <c r="I313" s="127"/>
      <c r="J313" s="19" t="s">
        <v>891</v>
      </c>
      <c r="K313" s="128" t="s">
        <v>821</v>
      </c>
      <c r="L313" s="127"/>
      <c r="M313" s="2"/>
      <c r="N313" s="2"/>
    </row>
    <row r="314" spans="1:14" ht="30" customHeight="1">
      <c r="A314" s="2"/>
      <c r="B314" s="2"/>
      <c r="C314" s="20" t="s">
        <v>822</v>
      </c>
      <c r="D314" s="126" t="s">
        <v>823</v>
      </c>
      <c r="E314" s="126"/>
      <c r="F314" s="126"/>
      <c r="G314" s="126"/>
      <c r="H314" s="126"/>
      <c r="I314" s="126"/>
      <c r="J314" s="126"/>
      <c r="K314" s="126"/>
      <c r="L314" s="126"/>
      <c r="M314" s="2"/>
      <c r="N314" s="2"/>
    </row>
    <row r="315" spans="1:14" ht="45" customHeight="1">
      <c r="A315" s="2"/>
      <c r="B315" s="2"/>
      <c r="C315" s="18" t="s">
        <v>279</v>
      </c>
      <c r="D315" s="127" t="s">
        <v>895</v>
      </c>
      <c r="E315" s="127"/>
      <c r="F315" s="127"/>
      <c r="G315" s="19" t="s">
        <v>818</v>
      </c>
      <c r="H315" s="127" t="s">
        <v>819</v>
      </c>
      <c r="I315" s="127"/>
      <c r="J315" s="19" t="s">
        <v>891</v>
      </c>
      <c r="K315" s="128" t="s">
        <v>821</v>
      </c>
      <c r="L315" s="127"/>
      <c r="M315" s="2"/>
      <c r="N315" s="2"/>
    </row>
    <row r="316" spans="1:14" ht="30" customHeight="1">
      <c r="A316" s="2"/>
      <c r="B316" s="2"/>
      <c r="C316" s="20" t="s">
        <v>822</v>
      </c>
      <c r="D316" s="126" t="s">
        <v>823</v>
      </c>
      <c r="E316" s="126"/>
      <c r="F316" s="126"/>
      <c r="G316" s="126"/>
      <c r="H316" s="126"/>
      <c r="I316" s="126"/>
      <c r="J316" s="126"/>
      <c r="K316" s="126"/>
      <c r="L316" s="126"/>
      <c r="M316" s="2"/>
      <c r="N316" s="2"/>
    </row>
    <row r="317" spans="1:14" ht="45" customHeight="1">
      <c r="A317" s="2"/>
      <c r="B317" s="2"/>
      <c r="C317" s="18" t="s">
        <v>281</v>
      </c>
      <c r="D317" s="127" t="s">
        <v>896</v>
      </c>
      <c r="E317" s="127"/>
      <c r="F317" s="127"/>
      <c r="G317" s="19" t="s">
        <v>818</v>
      </c>
      <c r="H317" s="127" t="s">
        <v>819</v>
      </c>
      <c r="I317" s="127"/>
      <c r="J317" s="19" t="s">
        <v>891</v>
      </c>
      <c r="K317" s="128" t="s">
        <v>821</v>
      </c>
      <c r="L317" s="127"/>
      <c r="M317" s="2"/>
      <c r="N317" s="2"/>
    </row>
    <row r="318" spans="1:14" ht="30" customHeight="1">
      <c r="A318" s="2"/>
      <c r="B318" s="2"/>
      <c r="C318" s="20" t="s">
        <v>822</v>
      </c>
      <c r="D318" s="126" t="s">
        <v>823</v>
      </c>
      <c r="E318" s="126"/>
      <c r="F318" s="126"/>
      <c r="G318" s="126"/>
      <c r="H318" s="126"/>
      <c r="I318" s="126"/>
      <c r="J318" s="126"/>
      <c r="K318" s="126"/>
      <c r="L318" s="126"/>
      <c r="M318" s="2"/>
      <c r="N318" s="2"/>
    </row>
    <row r="319" spans="1:14" ht="45" customHeight="1">
      <c r="A319" s="2"/>
      <c r="B319" s="2"/>
      <c r="C319" s="18" t="s">
        <v>283</v>
      </c>
      <c r="D319" s="127" t="s">
        <v>897</v>
      </c>
      <c r="E319" s="127"/>
      <c r="F319" s="127"/>
      <c r="G319" s="19" t="s">
        <v>818</v>
      </c>
      <c r="H319" s="127" t="s">
        <v>819</v>
      </c>
      <c r="I319" s="127"/>
      <c r="J319" s="19" t="s">
        <v>891</v>
      </c>
      <c r="K319" s="128" t="s">
        <v>821</v>
      </c>
      <c r="L319" s="127"/>
      <c r="M319" s="2"/>
      <c r="N319" s="2"/>
    </row>
    <row r="320" spans="1:14" ht="30" customHeight="1">
      <c r="A320" s="2"/>
      <c r="B320" s="2"/>
      <c r="C320" s="20" t="s">
        <v>822</v>
      </c>
      <c r="D320" s="126" t="s">
        <v>823</v>
      </c>
      <c r="E320" s="126"/>
      <c r="F320" s="126"/>
      <c r="G320" s="126"/>
      <c r="H320" s="126"/>
      <c r="I320" s="126"/>
      <c r="J320" s="126"/>
      <c r="K320" s="126"/>
      <c r="L320" s="126"/>
      <c r="M320" s="2"/>
      <c r="N320" s="2"/>
    </row>
    <row r="321" spans="1:14" ht="45" customHeight="1">
      <c r="A321" s="2"/>
      <c r="B321" s="2"/>
      <c r="C321" s="18" t="s">
        <v>285</v>
      </c>
      <c r="D321" s="127" t="s">
        <v>898</v>
      </c>
      <c r="E321" s="127"/>
      <c r="F321" s="127"/>
      <c r="G321" s="19" t="s">
        <v>818</v>
      </c>
      <c r="H321" s="127" t="s">
        <v>819</v>
      </c>
      <c r="I321" s="127"/>
      <c r="J321" s="19" t="s">
        <v>891</v>
      </c>
      <c r="K321" s="128" t="s">
        <v>821</v>
      </c>
      <c r="L321" s="127"/>
      <c r="M321" s="2"/>
      <c r="N321" s="2"/>
    </row>
    <row r="322" spans="1:14" ht="30" customHeight="1">
      <c r="A322" s="2"/>
      <c r="B322" s="2"/>
      <c r="C322" s="20" t="s">
        <v>822</v>
      </c>
      <c r="D322" s="126" t="s">
        <v>823</v>
      </c>
      <c r="E322" s="126"/>
      <c r="F322" s="126"/>
      <c r="G322" s="126"/>
      <c r="H322" s="126"/>
      <c r="I322" s="126"/>
      <c r="J322" s="126"/>
      <c r="K322" s="126"/>
      <c r="L322" s="126"/>
      <c r="M322" s="2"/>
      <c r="N322" s="2"/>
    </row>
    <row r="323" spans="1:14" ht="45" customHeight="1">
      <c r="A323" s="2"/>
      <c r="B323" s="2"/>
      <c r="C323" s="18" t="s">
        <v>287</v>
      </c>
      <c r="D323" s="127" t="s">
        <v>899</v>
      </c>
      <c r="E323" s="127"/>
      <c r="F323" s="127"/>
      <c r="G323" s="19" t="s">
        <v>818</v>
      </c>
      <c r="H323" s="127" t="s">
        <v>819</v>
      </c>
      <c r="I323" s="127"/>
      <c r="J323" s="19" t="s">
        <v>891</v>
      </c>
      <c r="K323" s="128" t="s">
        <v>821</v>
      </c>
      <c r="L323" s="127"/>
      <c r="M323" s="2"/>
      <c r="N323" s="2"/>
    </row>
    <row r="324" spans="1:14" ht="30" customHeight="1">
      <c r="A324" s="2"/>
      <c r="B324" s="2"/>
      <c r="C324" s="20" t="s">
        <v>822</v>
      </c>
      <c r="D324" s="126" t="s">
        <v>823</v>
      </c>
      <c r="E324" s="126"/>
      <c r="F324" s="126"/>
      <c r="G324" s="126"/>
      <c r="H324" s="126"/>
      <c r="I324" s="126"/>
      <c r="J324" s="126"/>
      <c r="K324" s="126"/>
      <c r="L324" s="126"/>
      <c r="M324" s="2"/>
      <c r="N324" s="2"/>
    </row>
    <row r="325" spans="1:14" ht="45" customHeight="1">
      <c r="A325" s="2"/>
      <c r="B325" s="2"/>
      <c r="C325" s="18" t="s">
        <v>289</v>
      </c>
      <c r="D325" s="127" t="s">
        <v>900</v>
      </c>
      <c r="E325" s="127"/>
      <c r="F325" s="127"/>
      <c r="G325" s="19" t="s">
        <v>818</v>
      </c>
      <c r="H325" s="127" t="s">
        <v>819</v>
      </c>
      <c r="I325" s="127"/>
      <c r="J325" s="19" t="s">
        <v>891</v>
      </c>
      <c r="K325" s="128" t="s">
        <v>821</v>
      </c>
      <c r="L325" s="127"/>
      <c r="M325" s="2"/>
      <c r="N325" s="2"/>
    </row>
    <row r="326" spans="1:14" ht="30" customHeight="1">
      <c r="A326" s="2"/>
      <c r="B326" s="2"/>
      <c r="C326" s="20" t="s">
        <v>822</v>
      </c>
      <c r="D326" s="126" t="s">
        <v>823</v>
      </c>
      <c r="E326" s="126"/>
      <c r="F326" s="126"/>
      <c r="G326" s="126"/>
      <c r="H326" s="126"/>
      <c r="I326" s="126"/>
      <c r="J326" s="126"/>
      <c r="K326" s="126"/>
      <c r="L326" s="126"/>
      <c r="M326" s="2"/>
      <c r="N326" s="2"/>
    </row>
    <row r="327" spans="1:14" ht="45" customHeight="1">
      <c r="A327" s="2"/>
      <c r="B327" s="2"/>
      <c r="C327" s="18" t="s">
        <v>291</v>
      </c>
      <c r="D327" s="127" t="s">
        <v>901</v>
      </c>
      <c r="E327" s="127"/>
      <c r="F327" s="127"/>
      <c r="G327" s="19" t="s">
        <v>818</v>
      </c>
      <c r="H327" s="127" t="s">
        <v>819</v>
      </c>
      <c r="I327" s="127"/>
      <c r="J327" s="19" t="s">
        <v>891</v>
      </c>
      <c r="K327" s="128" t="s">
        <v>821</v>
      </c>
      <c r="L327" s="127"/>
      <c r="M327" s="2"/>
      <c r="N327" s="2"/>
    </row>
    <row r="328" spans="1:14" ht="30" customHeight="1">
      <c r="A328" s="2"/>
      <c r="B328" s="2"/>
      <c r="C328" s="20" t="s">
        <v>822</v>
      </c>
      <c r="D328" s="126" t="s">
        <v>823</v>
      </c>
      <c r="E328" s="126"/>
      <c r="F328" s="126"/>
      <c r="G328" s="126"/>
      <c r="H328" s="126"/>
      <c r="I328" s="126"/>
      <c r="J328" s="126"/>
      <c r="K328" s="126"/>
      <c r="L328" s="126"/>
      <c r="M328" s="2"/>
      <c r="N328" s="2"/>
    </row>
    <row r="329" spans="1:14" ht="45" customHeight="1">
      <c r="A329" s="2"/>
      <c r="B329" s="2"/>
      <c r="C329" s="18" t="s">
        <v>293</v>
      </c>
      <c r="D329" s="127" t="s">
        <v>902</v>
      </c>
      <c r="E329" s="127"/>
      <c r="F329" s="127"/>
      <c r="G329" s="19" t="s">
        <v>818</v>
      </c>
      <c r="H329" s="127" t="s">
        <v>819</v>
      </c>
      <c r="I329" s="127"/>
      <c r="J329" s="19" t="s">
        <v>891</v>
      </c>
      <c r="K329" s="128" t="s">
        <v>821</v>
      </c>
      <c r="L329" s="127"/>
      <c r="M329" s="2"/>
      <c r="N329" s="2"/>
    </row>
    <row r="330" spans="1:14" ht="30" customHeight="1">
      <c r="A330" s="2"/>
      <c r="B330" s="2"/>
      <c r="C330" s="20" t="s">
        <v>822</v>
      </c>
      <c r="D330" s="126" t="s">
        <v>823</v>
      </c>
      <c r="E330" s="126"/>
      <c r="F330" s="126"/>
      <c r="G330" s="126"/>
      <c r="H330" s="126"/>
      <c r="I330" s="126"/>
      <c r="J330" s="126"/>
      <c r="K330" s="126"/>
      <c r="L330" s="126"/>
      <c r="M330" s="2"/>
      <c r="N330" s="2"/>
    </row>
    <row r="331" spans="1:14" ht="45" customHeight="1">
      <c r="A331" s="2"/>
      <c r="B331" s="2"/>
      <c r="C331" s="18" t="s">
        <v>295</v>
      </c>
      <c r="D331" s="127" t="s">
        <v>903</v>
      </c>
      <c r="E331" s="127"/>
      <c r="F331" s="127"/>
      <c r="G331" s="19" t="s">
        <v>818</v>
      </c>
      <c r="H331" s="127" t="s">
        <v>819</v>
      </c>
      <c r="I331" s="127"/>
      <c r="J331" s="19" t="s">
        <v>891</v>
      </c>
      <c r="K331" s="128" t="s">
        <v>821</v>
      </c>
      <c r="L331" s="127"/>
      <c r="M331" s="2"/>
      <c r="N331" s="2"/>
    </row>
    <row r="332" spans="1:14" ht="30" customHeight="1">
      <c r="A332" s="2"/>
      <c r="B332" s="2"/>
      <c r="C332" s="20" t="s">
        <v>822</v>
      </c>
      <c r="D332" s="126" t="s">
        <v>823</v>
      </c>
      <c r="E332" s="126"/>
      <c r="F332" s="126"/>
      <c r="G332" s="126"/>
      <c r="H332" s="126"/>
      <c r="I332" s="126"/>
      <c r="J332" s="126"/>
      <c r="K332" s="126"/>
      <c r="L332" s="126"/>
      <c r="M332" s="2"/>
      <c r="N332" s="2"/>
    </row>
    <row r="333" spans="1:14" ht="45" customHeight="1">
      <c r="A333" s="2"/>
      <c r="B333" s="2"/>
      <c r="C333" s="18" t="s">
        <v>298</v>
      </c>
      <c r="D333" s="127" t="s">
        <v>904</v>
      </c>
      <c r="E333" s="127"/>
      <c r="F333" s="127"/>
      <c r="G333" s="19" t="s">
        <v>818</v>
      </c>
      <c r="H333" s="127" t="s">
        <v>819</v>
      </c>
      <c r="I333" s="127"/>
      <c r="J333" s="19" t="s">
        <v>891</v>
      </c>
      <c r="K333" s="128" t="s">
        <v>821</v>
      </c>
      <c r="L333" s="127"/>
      <c r="M333" s="2"/>
      <c r="N333" s="2"/>
    </row>
    <row r="334" spans="1:14" ht="30" customHeight="1">
      <c r="A334" s="2"/>
      <c r="B334" s="2"/>
      <c r="C334" s="20" t="s">
        <v>822</v>
      </c>
      <c r="D334" s="126" t="s">
        <v>823</v>
      </c>
      <c r="E334" s="126"/>
      <c r="F334" s="126"/>
      <c r="G334" s="126"/>
      <c r="H334" s="126"/>
      <c r="I334" s="126"/>
      <c r="J334" s="126"/>
      <c r="K334" s="126"/>
      <c r="L334" s="126"/>
      <c r="M334" s="2"/>
      <c r="N334" s="2"/>
    </row>
    <row r="335" spans="1:14" ht="45" customHeight="1">
      <c r="A335" s="2"/>
      <c r="B335" s="2"/>
      <c r="C335" s="18" t="s">
        <v>300</v>
      </c>
      <c r="D335" s="127" t="s">
        <v>905</v>
      </c>
      <c r="E335" s="127"/>
      <c r="F335" s="127"/>
      <c r="G335" s="19" t="s">
        <v>818</v>
      </c>
      <c r="H335" s="127" t="s">
        <v>819</v>
      </c>
      <c r="I335" s="127"/>
      <c r="J335" s="19" t="s">
        <v>891</v>
      </c>
      <c r="K335" s="128" t="s">
        <v>821</v>
      </c>
      <c r="L335" s="127"/>
      <c r="M335" s="2"/>
      <c r="N335" s="2"/>
    </row>
    <row r="336" spans="1:14" ht="30" customHeight="1">
      <c r="A336" s="2"/>
      <c r="B336" s="2"/>
      <c r="C336" s="20" t="s">
        <v>822</v>
      </c>
      <c r="D336" s="126" t="s">
        <v>823</v>
      </c>
      <c r="E336" s="126"/>
      <c r="F336" s="126"/>
      <c r="G336" s="126"/>
      <c r="H336" s="126"/>
      <c r="I336" s="126"/>
      <c r="J336" s="126"/>
      <c r="K336" s="126"/>
      <c r="L336" s="126"/>
      <c r="M336" s="2"/>
      <c r="N336" s="2"/>
    </row>
    <row r="337" spans="1:14" ht="45" customHeight="1">
      <c r="A337" s="2"/>
      <c r="B337" s="2"/>
      <c r="C337" s="18" t="s">
        <v>302</v>
      </c>
      <c r="D337" s="127" t="s">
        <v>906</v>
      </c>
      <c r="E337" s="127"/>
      <c r="F337" s="127"/>
      <c r="G337" s="19" t="s">
        <v>818</v>
      </c>
      <c r="H337" s="127" t="s">
        <v>819</v>
      </c>
      <c r="I337" s="127"/>
      <c r="J337" s="19" t="s">
        <v>891</v>
      </c>
      <c r="K337" s="128" t="s">
        <v>821</v>
      </c>
      <c r="L337" s="127"/>
      <c r="M337" s="2"/>
      <c r="N337" s="2"/>
    </row>
    <row r="338" spans="1:14" ht="30" customHeight="1">
      <c r="A338" s="2"/>
      <c r="B338" s="2"/>
      <c r="C338" s="20" t="s">
        <v>822</v>
      </c>
      <c r="D338" s="126" t="s">
        <v>823</v>
      </c>
      <c r="E338" s="126"/>
      <c r="F338" s="126"/>
      <c r="G338" s="126"/>
      <c r="H338" s="126"/>
      <c r="I338" s="126"/>
      <c r="J338" s="126"/>
      <c r="K338" s="126"/>
      <c r="L338" s="126"/>
      <c r="M338" s="2"/>
      <c r="N338" s="2"/>
    </row>
    <row r="339" spans="1:14" ht="45" customHeight="1">
      <c r="A339" s="2"/>
      <c r="B339" s="2"/>
      <c r="C339" s="18" t="s">
        <v>304</v>
      </c>
      <c r="D339" s="127" t="s">
        <v>907</v>
      </c>
      <c r="E339" s="127"/>
      <c r="F339" s="127"/>
      <c r="G339" s="19" t="s">
        <v>818</v>
      </c>
      <c r="H339" s="127" t="s">
        <v>819</v>
      </c>
      <c r="I339" s="127"/>
      <c r="J339" s="19" t="s">
        <v>891</v>
      </c>
      <c r="K339" s="128" t="s">
        <v>821</v>
      </c>
      <c r="L339" s="127"/>
      <c r="M339" s="2"/>
      <c r="N339" s="2"/>
    </row>
    <row r="340" spans="1:14" ht="30" customHeight="1">
      <c r="A340" s="2"/>
      <c r="B340" s="2"/>
      <c r="C340" s="20" t="s">
        <v>822</v>
      </c>
      <c r="D340" s="126" t="s">
        <v>823</v>
      </c>
      <c r="E340" s="126"/>
      <c r="F340" s="126"/>
      <c r="G340" s="126"/>
      <c r="H340" s="126"/>
      <c r="I340" s="126"/>
      <c r="J340" s="126"/>
      <c r="K340" s="126"/>
      <c r="L340" s="126"/>
      <c r="M340" s="2"/>
      <c r="N340" s="2"/>
    </row>
    <row r="341" spans="1:14" ht="45" customHeight="1">
      <c r="A341" s="2"/>
      <c r="B341" s="2"/>
      <c r="C341" s="18" t="s">
        <v>306</v>
      </c>
      <c r="D341" s="127" t="s">
        <v>908</v>
      </c>
      <c r="E341" s="127"/>
      <c r="F341" s="127"/>
      <c r="G341" s="19" t="s">
        <v>818</v>
      </c>
      <c r="H341" s="127" t="s">
        <v>819</v>
      </c>
      <c r="I341" s="127"/>
      <c r="J341" s="19" t="s">
        <v>891</v>
      </c>
      <c r="K341" s="128" t="s">
        <v>821</v>
      </c>
      <c r="L341" s="127"/>
      <c r="M341" s="2"/>
      <c r="N341" s="2"/>
    </row>
    <row r="342" spans="1:14" ht="30" customHeight="1">
      <c r="A342" s="2"/>
      <c r="B342" s="2"/>
      <c r="C342" s="20" t="s">
        <v>822</v>
      </c>
      <c r="D342" s="126" t="s">
        <v>823</v>
      </c>
      <c r="E342" s="126"/>
      <c r="F342" s="126"/>
      <c r="G342" s="126"/>
      <c r="H342" s="126"/>
      <c r="I342" s="126"/>
      <c r="J342" s="126"/>
      <c r="K342" s="126"/>
      <c r="L342" s="126"/>
      <c r="M342" s="2"/>
      <c r="N342" s="2"/>
    </row>
    <row r="343" spans="1:14" ht="45" customHeight="1">
      <c r="A343" s="2"/>
      <c r="B343" s="2"/>
      <c r="C343" s="18" t="s">
        <v>308</v>
      </c>
      <c r="D343" s="127" t="s">
        <v>909</v>
      </c>
      <c r="E343" s="127"/>
      <c r="F343" s="127"/>
      <c r="G343" s="19" t="s">
        <v>818</v>
      </c>
      <c r="H343" s="127" t="s">
        <v>819</v>
      </c>
      <c r="I343" s="127"/>
      <c r="J343" s="19" t="s">
        <v>891</v>
      </c>
      <c r="K343" s="128" t="s">
        <v>821</v>
      </c>
      <c r="L343" s="127"/>
      <c r="M343" s="2"/>
      <c r="N343" s="2"/>
    </row>
    <row r="344" spans="1:14" ht="30" customHeight="1">
      <c r="A344" s="2"/>
      <c r="B344" s="2"/>
      <c r="C344" s="20" t="s">
        <v>822</v>
      </c>
      <c r="D344" s="126" t="s">
        <v>823</v>
      </c>
      <c r="E344" s="126"/>
      <c r="F344" s="126"/>
      <c r="G344" s="126"/>
      <c r="H344" s="126"/>
      <c r="I344" s="126"/>
      <c r="J344" s="126"/>
      <c r="K344" s="126"/>
      <c r="L344" s="126"/>
      <c r="M344" s="2"/>
      <c r="N344" s="2"/>
    </row>
    <row r="345" spans="1:14" ht="45" customHeight="1">
      <c r="A345" s="2"/>
      <c r="B345" s="2"/>
      <c r="C345" s="18" t="s">
        <v>310</v>
      </c>
      <c r="D345" s="127" t="s">
        <v>910</v>
      </c>
      <c r="E345" s="127"/>
      <c r="F345" s="127"/>
      <c r="G345" s="19" t="s">
        <v>818</v>
      </c>
      <c r="H345" s="127" t="s">
        <v>819</v>
      </c>
      <c r="I345" s="127"/>
      <c r="J345" s="19" t="s">
        <v>891</v>
      </c>
      <c r="K345" s="128" t="s">
        <v>821</v>
      </c>
      <c r="L345" s="127"/>
      <c r="M345" s="2"/>
      <c r="N345" s="2"/>
    </row>
    <row r="346" spans="1:14" ht="30" customHeight="1">
      <c r="A346" s="2"/>
      <c r="B346" s="2"/>
      <c r="C346" s="20" t="s">
        <v>822</v>
      </c>
      <c r="D346" s="126" t="s">
        <v>823</v>
      </c>
      <c r="E346" s="126"/>
      <c r="F346" s="126"/>
      <c r="G346" s="126"/>
      <c r="H346" s="126"/>
      <c r="I346" s="126"/>
      <c r="J346" s="126"/>
      <c r="K346" s="126"/>
      <c r="L346" s="126"/>
      <c r="M346" s="2"/>
      <c r="N346" s="2"/>
    </row>
    <row r="347" spans="1:14" ht="45" customHeight="1">
      <c r="A347" s="2"/>
      <c r="B347" s="2"/>
      <c r="C347" s="18" t="s">
        <v>312</v>
      </c>
      <c r="D347" s="127" t="s">
        <v>911</v>
      </c>
      <c r="E347" s="127"/>
      <c r="F347" s="127"/>
      <c r="G347" s="19" t="s">
        <v>818</v>
      </c>
      <c r="H347" s="127" t="s">
        <v>819</v>
      </c>
      <c r="I347" s="127"/>
      <c r="J347" s="19" t="s">
        <v>891</v>
      </c>
      <c r="K347" s="128" t="s">
        <v>821</v>
      </c>
      <c r="L347" s="127"/>
      <c r="M347" s="2"/>
      <c r="N347" s="2"/>
    </row>
    <row r="348" spans="1:14" ht="30" customHeight="1">
      <c r="A348" s="2"/>
      <c r="B348" s="2"/>
      <c r="C348" s="20" t="s">
        <v>822</v>
      </c>
      <c r="D348" s="126" t="s">
        <v>823</v>
      </c>
      <c r="E348" s="126"/>
      <c r="F348" s="126"/>
      <c r="G348" s="126"/>
      <c r="H348" s="126"/>
      <c r="I348" s="126"/>
      <c r="J348" s="126"/>
      <c r="K348" s="126"/>
      <c r="L348" s="126"/>
      <c r="M348" s="2"/>
      <c r="N348" s="2"/>
    </row>
    <row r="349" spans="1:14" ht="45" customHeight="1">
      <c r="A349" s="2"/>
      <c r="B349" s="2"/>
      <c r="C349" s="18" t="s">
        <v>314</v>
      </c>
      <c r="D349" s="127" t="s">
        <v>912</v>
      </c>
      <c r="E349" s="127"/>
      <c r="F349" s="127"/>
      <c r="G349" s="19" t="s">
        <v>818</v>
      </c>
      <c r="H349" s="127" t="s">
        <v>819</v>
      </c>
      <c r="I349" s="127"/>
      <c r="J349" s="19" t="s">
        <v>891</v>
      </c>
      <c r="K349" s="128" t="s">
        <v>821</v>
      </c>
      <c r="L349" s="127"/>
      <c r="M349" s="2"/>
      <c r="N349" s="2"/>
    </row>
    <row r="350" spans="1:14" ht="30" customHeight="1">
      <c r="A350" s="2"/>
      <c r="B350" s="2"/>
      <c r="C350" s="20" t="s">
        <v>822</v>
      </c>
      <c r="D350" s="126" t="s">
        <v>823</v>
      </c>
      <c r="E350" s="126"/>
      <c r="F350" s="126"/>
      <c r="G350" s="126"/>
      <c r="H350" s="126"/>
      <c r="I350" s="126"/>
      <c r="J350" s="126"/>
      <c r="K350" s="126"/>
      <c r="L350" s="126"/>
      <c r="M350" s="2"/>
      <c r="N350" s="2"/>
    </row>
    <row r="351" spans="1:14" ht="45" customHeight="1">
      <c r="A351" s="2"/>
      <c r="B351" s="2"/>
      <c r="C351" s="18" t="s">
        <v>316</v>
      </c>
      <c r="D351" s="127" t="s">
        <v>913</v>
      </c>
      <c r="E351" s="127"/>
      <c r="F351" s="127"/>
      <c r="G351" s="19" t="s">
        <v>818</v>
      </c>
      <c r="H351" s="127" t="s">
        <v>819</v>
      </c>
      <c r="I351" s="127"/>
      <c r="J351" s="19" t="s">
        <v>891</v>
      </c>
      <c r="K351" s="128" t="s">
        <v>821</v>
      </c>
      <c r="L351" s="127"/>
      <c r="M351" s="2"/>
      <c r="N351" s="2"/>
    </row>
    <row r="352" spans="1:14" ht="30" customHeight="1">
      <c r="A352" s="2"/>
      <c r="B352" s="2"/>
      <c r="C352" s="20" t="s">
        <v>822</v>
      </c>
      <c r="D352" s="126" t="s">
        <v>823</v>
      </c>
      <c r="E352" s="126"/>
      <c r="F352" s="126"/>
      <c r="G352" s="126"/>
      <c r="H352" s="126"/>
      <c r="I352" s="126"/>
      <c r="J352" s="126"/>
      <c r="K352" s="126"/>
      <c r="L352" s="126"/>
      <c r="M352" s="2"/>
      <c r="N352" s="2"/>
    </row>
    <row r="353" spans="1:14" ht="45" customHeight="1">
      <c r="A353" s="2"/>
      <c r="B353" s="2"/>
      <c r="C353" s="18" t="s">
        <v>318</v>
      </c>
      <c r="D353" s="127" t="s">
        <v>914</v>
      </c>
      <c r="E353" s="127"/>
      <c r="F353" s="127"/>
      <c r="G353" s="19" t="s">
        <v>818</v>
      </c>
      <c r="H353" s="127" t="s">
        <v>819</v>
      </c>
      <c r="I353" s="127"/>
      <c r="J353" s="19" t="s">
        <v>891</v>
      </c>
      <c r="K353" s="128" t="s">
        <v>821</v>
      </c>
      <c r="L353" s="127"/>
      <c r="M353" s="2"/>
      <c r="N353" s="2"/>
    </row>
    <row r="354" spans="1:14" ht="30" customHeight="1">
      <c r="A354" s="2"/>
      <c r="B354" s="2"/>
      <c r="C354" s="20" t="s">
        <v>822</v>
      </c>
      <c r="D354" s="126" t="s">
        <v>823</v>
      </c>
      <c r="E354" s="126"/>
      <c r="F354" s="126"/>
      <c r="G354" s="126"/>
      <c r="H354" s="126"/>
      <c r="I354" s="126"/>
      <c r="J354" s="126"/>
      <c r="K354" s="126"/>
      <c r="L354" s="126"/>
      <c r="M354" s="2"/>
      <c r="N354" s="2"/>
    </row>
    <row r="355" spans="1:14" ht="45" customHeight="1">
      <c r="A355" s="2"/>
      <c r="B355" s="2"/>
      <c r="C355" s="18" t="s">
        <v>319</v>
      </c>
      <c r="D355" s="127" t="s">
        <v>915</v>
      </c>
      <c r="E355" s="127"/>
      <c r="F355" s="127"/>
      <c r="G355" s="19" t="s">
        <v>818</v>
      </c>
      <c r="H355" s="127" t="s">
        <v>819</v>
      </c>
      <c r="I355" s="127"/>
      <c r="J355" s="19" t="s">
        <v>891</v>
      </c>
      <c r="K355" s="128" t="s">
        <v>821</v>
      </c>
      <c r="L355" s="127"/>
      <c r="M355" s="2"/>
      <c r="N355" s="2"/>
    </row>
    <row r="356" spans="1:14" ht="30" customHeight="1">
      <c r="A356" s="2"/>
      <c r="B356" s="2"/>
      <c r="C356" s="20" t="s">
        <v>822</v>
      </c>
      <c r="D356" s="126" t="s">
        <v>823</v>
      </c>
      <c r="E356" s="126"/>
      <c r="F356" s="126"/>
      <c r="G356" s="126"/>
      <c r="H356" s="126"/>
      <c r="I356" s="126"/>
      <c r="J356" s="126"/>
      <c r="K356" s="126"/>
      <c r="L356" s="126"/>
      <c r="M356" s="2"/>
      <c r="N356" s="2"/>
    </row>
    <row r="357" spans="1:14" ht="45" customHeight="1">
      <c r="A357" s="2"/>
      <c r="B357" s="2"/>
      <c r="C357" s="18" t="s">
        <v>321</v>
      </c>
      <c r="D357" s="127" t="s">
        <v>916</v>
      </c>
      <c r="E357" s="127"/>
      <c r="F357" s="127"/>
      <c r="G357" s="19" t="s">
        <v>818</v>
      </c>
      <c r="H357" s="127" t="s">
        <v>819</v>
      </c>
      <c r="I357" s="127"/>
      <c r="J357" s="19" t="s">
        <v>891</v>
      </c>
      <c r="K357" s="128" t="s">
        <v>821</v>
      </c>
      <c r="L357" s="127"/>
      <c r="M357" s="2"/>
      <c r="N357" s="2"/>
    </row>
    <row r="358" spans="1:14" ht="30" customHeight="1">
      <c r="A358" s="2"/>
      <c r="B358" s="2"/>
      <c r="C358" s="20" t="s">
        <v>822</v>
      </c>
      <c r="D358" s="126" t="s">
        <v>823</v>
      </c>
      <c r="E358" s="126"/>
      <c r="F358" s="126"/>
      <c r="G358" s="126"/>
      <c r="H358" s="126"/>
      <c r="I358" s="126"/>
      <c r="J358" s="126"/>
      <c r="K358" s="126"/>
      <c r="L358" s="126"/>
      <c r="M358" s="2"/>
      <c r="N358" s="2"/>
    </row>
    <row r="359" spans="1:14" ht="45" customHeight="1">
      <c r="A359" s="2"/>
      <c r="B359" s="2"/>
      <c r="C359" s="18" t="s">
        <v>323</v>
      </c>
      <c r="D359" s="127" t="s">
        <v>917</v>
      </c>
      <c r="E359" s="127"/>
      <c r="F359" s="127"/>
      <c r="G359" s="19" t="s">
        <v>818</v>
      </c>
      <c r="H359" s="127" t="s">
        <v>819</v>
      </c>
      <c r="I359" s="127"/>
      <c r="J359" s="19" t="s">
        <v>891</v>
      </c>
      <c r="K359" s="128" t="s">
        <v>821</v>
      </c>
      <c r="L359" s="127"/>
      <c r="M359" s="2"/>
      <c r="N359" s="2"/>
    </row>
    <row r="360" spans="1:14" ht="30" customHeight="1">
      <c r="A360" s="2"/>
      <c r="B360" s="2"/>
      <c r="C360" s="20" t="s">
        <v>822</v>
      </c>
      <c r="D360" s="126" t="s">
        <v>823</v>
      </c>
      <c r="E360" s="126"/>
      <c r="F360" s="126"/>
      <c r="G360" s="126"/>
      <c r="H360" s="126"/>
      <c r="I360" s="126"/>
      <c r="J360" s="126"/>
      <c r="K360" s="126"/>
      <c r="L360" s="126"/>
      <c r="M360" s="2"/>
      <c r="N360" s="2"/>
    </row>
    <row r="361" spans="1:14" ht="45" customHeight="1">
      <c r="A361" s="2"/>
      <c r="B361" s="2"/>
      <c r="C361" s="18" t="s">
        <v>325</v>
      </c>
      <c r="D361" s="127" t="s">
        <v>918</v>
      </c>
      <c r="E361" s="127"/>
      <c r="F361" s="127"/>
      <c r="G361" s="19" t="s">
        <v>818</v>
      </c>
      <c r="H361" s="127" t="s">
        <v>819</v>
      </c>
      <c r="I361" s="127"/>
      <c r="J361" s="19" t="s">
        <v>891</v>
      </c>
      <c r="K361" s="128" t="s">
        <v>821</v>
      </c>
      <c r="L361" s="127"/>
      <c r="M361" s="2"/>
      <c r="N361" s="2"/>
    </row>
    <row r="362" spans="1:14" ht="30" customHeight="1">
      <c r="A362" s="2"/>
      <c r="B362" s="2"/>
      <c r="C362" s="20" t="s">
        <v>822</v>
      </c>
      <c r="D362" s="126" t="s">
        <v>823</v>
      </c>
      <c r="E362" s="126"/>
      <c r="F362" s="126"/>
      <c r="G362" s="126"/>
      <c r="H362" s="126"/>
      <c r="I362" s="126"/>
      <c r="J362" s="126"/>
      <c r="K362" s="126"/>
      <c r="L362" s="126"/>
      <c r="M362" s="2"/>
      <c r="N362" s="2"/>
    </row>
    <row r="363" spans="1:14" ht="45" customHeight="1">
      <c r="A363" s="2"/>
      <c r="B363" s="2"/>
      <c r="C363" s="18" t="s">
        <v>327</v>
      </c>
      <c r="D363" s="127" t="s">
        <v>919</v>
      </c>
      <c r="E363" s="127"/>
      <c r="F363" s="127"/>
      <c r="G363" s="19" t="s">
        <v>818</v>
      </c>
      <c r="H363" s="127" t="s">
        <v>819</v>
      </c>
      <c r="I363" s="127"/>
      <c r="J363" s="19" t="s">
        <v>891</v>
      </c>
      <c r="K363" s="128" t="s">
        <v>821</v>
      </c>
      <c r="L363" s="127"/>
      <c r="M363" s="2"/>
      <c r="N363" s="2"/>
    </row>
    <row r="364" spans="1:14" ht="30" customHeight="1">
      <c r="A364" s="2"/>
      <c r="B364" s="2"/>
      <c r="C364" s="20" t="s">
        <v>822</v>
      </c>
      <c r="D364" s="126" t="s">
        <v>823</v>
      </c>
      <c r="E364" s="126"/>
      <c r="F364" s="126"/>
      <c r="G364" s="126"/>
      <c r="H364" s="126"/>
      <c r="I364" s="126"/>
      <c r="J364" s="126"/>
      <c r="K364" s="126"/>
      <c r="L364" s="126"/>
      <c r="M364" s="2"/>
      <c r="N364" s="2"/>
    </row>
    <row r="365" spans="1:14" ht="45" customHeight="1">
      <c r="A365" s="2"/>
      <c r="B365" s="2"/>
      <c r="C365" s="18" t="s">
        <v>329</v>
      </c>
      <c r="D365" s="127" t="s">
        <v>920</v>
      </c>
      <c r="E365" s="127"/>
      <c r="F365" s="127"/>
      <c r="G365" s="19" t="s">
        <v>818</v>
      </c>
      <c r="H365" s="127" t="s">
        <v>819</v>
      </c>
      <c r="I365" s="127"/>
      <c r="J365" s="19" t="s">
        <v>891</v>
      </c>
      <c r="K365" s="128" t="s">
        <v>821</v>
      </c>
      <c r="L365" s="127"/>
      <c r="M365" s="2"/>
      <c r="N365" s="2"/>
    </row>
    <row r="366" spans="1:14" ht="30" customHeight="1">
      <c r="A366" s="2"/>
      <c r="B366" s="2"/>
      <c r="C366" s="20" t="s">
        <v>822</v>
      </c>
      <c r="D366" s="126" t="s">
        <v>823</v>
      </c>
      <c r="E366" s="126"/>
      <c r="F366" s="126"/>
      <c r="G366" s="126"/>
      <c r="H366" s="126"/>
      <c r="I366" s="126"/>
      <c r="J366" s="126"/>
      <c r="K366" s="126"/>
      <c r="L366" s="126"/>
      <c r="M366" s="2"/>
      <c r="N366" s="2"/>
    </row>
    <row r="367" spans="1:14" ht="45" customHeight="1">
      <c r="A367" s="2"/>
      <c r="B367" s="2"/>
      <c r="C367" s="18" t="s">
        <v>331</v>
      </c>
      <c r="D367" s="127" t="s">
        <v>921</v>
      </c>
      <c r="E367" s="127"/>
      <c r="F367" s="127"/>
      <c r="G367" s="19" t="s">
        <v>818</v>
      </c>
      <c r="H367" s="127" t="s">
        <v>819</v>
      </c>
      <c r="I367" s="127"/>
      <c r="J367" s="19" t="s">
        <v>891</v>
      </c>
      <c r="K367" s="128" t="s">
        <v>821</v>
      </c>
      <c r="L367" s="127"/>
      <c r="M367" s="2"/>
      <c r="N367" s="2"/>
    </row>
    <row r="368" spans="1:14" ht="30" customHeight="1">
      <c r="A368" s="2"/>
      <c r="B368" s="2"/>
      <c r="C368" s="20" t="s">
        <v>822</v>
      </c>
      <c r="D368" s="126" t="s">
        <v>823</v>
      </c>
      <c r="E368" s="126"/>
      <c r="F368" s="126"/>
      <c r="G368" s="126"/>
      <c r="H368" s="126"/>
      <c r="I368" s="126"/>
      <c r="J368" s="126"/>
      <c r="K368" s="126"/>
      <c r="L368" s="126"/>
      <c r="M368" s="2"/>
      <c r="N368" s="2"/>
    </row>
    <row r="369" spans="1:14" ht="45" customHeight="1">
      <c r="A369" s="2"/>
      <c r="B369" s="2"/>
      <c r="C369" s="18" t="s">
        <v>333</v>
      </c>
      <c r="D369" s="127" t="s">
        <v>922</v>
      </c>
      <c r="E369" s="127"/>
      <c r="F369" s="127"/>
      <c r="G369" s="19" t="s">
        <v>818</v>
      </c>
      <c r="H369" s="127" t="s">
        <v>819</v>
      </c>
      <c r="I369" s="127"/>
      <c r="J369" s="19" t="s">
        <v>891</v>
      </c>
      <c r="K369" s="128" t="s">
        <v>821</v>
      </c>
      <c r="L369" s="127"/>
      <c r="M369" s="2"/>
      <c r="N369" s="2"/>
    </row>
    <row r="370" spans="1:14" ht="30" customHeight="1">
      <c r="A370" s="2"/>
      <c r="B370" s="2"/>
      <c r="C370" s="20" t="s">
        <v>822</v>
      </c>
      <c r="D370" s="126" t="s">
        <v>823</v>
      </c>
      <c r="E370" s="126"/>
      <c r="F370" s="126"/>
      <c r="G370" s="126"/>
      <c r="H370" s="126"/>
      <c r="I370" s="126"/>
      <c r="J370" s="126"/>
      <c r="K370" s="126"/>
      <c r="L370" s="126"/>
      <c r="M370" s="2"/>
      <c r="N370" s="2"/>
    </row>
    <row r="371" spans="1:14" ht="45" customHeight="1">
      <c r="A371" s="2"/>
      <c r="B371" s="2"/>
      <c r="C371" s="18" t="s">
        <v>335</v>
      </c>
      <c r="D371" s="127" t="s">
        <v>923</v>
      </c>
      <c r="E371" s="127"/>
      <c r="F371" s="127"/>
      <c r="G371" s="19" t="s">
        <v>818</v>
      </c>
      <c r="H371" s="127" t="s">
        <v>819</v>
      </c>
      <c r="I371" s="127"/>
      <c r="J371" s="19" t="s">
        <v>891</v>
      </c>
      <c r="K371" s="128" t="s">
        <v>821</v>
      </c>
      <c r="L371" s="127"/>
      <c r="M371" s="2"/>
      <c r="N371" s="2"/>
    </row>
    <row r="372" spans="1:14" ht="30" customHeight="1">
      <c r="A372" s="2"/>
      <c r="B372" s="2"/>
      <c r="C372" s="20" t="s">
        <v>822</v>
      </c>
      <c r="D372" s="126" t="s">
        <v>823</v>
      </c>
      <c r="E372" s="126"/>
      <c r="F372" s="126"/>
      <c r="G372" s="126"/>
      <c r="H372" s="126"/>
      <c r="I372" s="126"/>
      <c r="J372" s="126"/>
      <c r="K372" s="126"/>
      <c r="L372" s="126"/>
      <c r="M372" s="2"/>
      <c r="N372" s="2"/>
    </row>
    <row r="373" spans="1:14" ht="45" customHeight="1">
      <c r="A373" s="2"/>
      <c r="B373" s="2"/>
      <c r="C373" s="18" t="s">
        <v>337</v>
      </c>
      <c r="D373" s="127" t="s">
        <v>924</v>
      </c>
      <c r="E373" s="127"/>
      <c r="F373" s="127"/>
      <c r="G373" s="19" t="s">
        <v>818</v>
      </c>
      <c r="H373" s="127" t="s">
        <v>819</v>
      </c>
      <c r="I373" s="127"/>
      <c r="J373" s="19" t="s">
        <v>891</v>
      </c>
      <c r="K373" s="128" t="s">
        <v>821</v>
      </c>
      <c r="L373" s="127"/>
      <c r="M373" s="2"/>
      <c r="N373" s="2"/>
    </row>
    <row r="374" spans="1:14" ht="30" customHeight="1">
      <c r="A374" s="2"/>
      <c r="B374" s="2"/>
      <c r="C374" s="20" t="s">
        <v>822</v>
      </c>
      <c r="D374" s="126" t="s">
        <v>823</v>
      </c>
      <c r="E374" s="126"/>
      <c r="F374" s="126"/>
      <c r="G374" s="126"/>
      <c r="H374" s="126"/>
      <c r="I374" s="126"/>
      <c r="J374" s="126"/>
      <c r="K374" s="126"/>
      <c r="L374" s="126"/>
      <c r="M374" s="2"/>
      <c r="N374" s="2"/>
    </row>
    <row r="375" spans="1:14" ht="45" customHeight="1">
      <c r="A375" s="2"/>
      <c r="B375" s="2"/>
      <c r="C375" s="18" t="s">
        <v>339</v>
      </c>
      <c r="D375" s="127" t="s">
        <v>925</v>
      </c>
      <c r="E375" s="127"/>
      <c r="F375" s="127"/>
      <c r="G375" s="19" t="s">
        <v>818</v>
      </c>
      <c r="H375" s="127" t="s">
        <v>819</v>
      </c>
      <c r="I375" s="127"/>
      <c r="J375" s="19" t="s">
        <v>891</v>
      </c>
      <c r="K375" s="128" t="s">
        <v>821</v>
      </c>
      <c r="L375" s="127"/>
      <c r="M375" s="2"/>
      <c r="N375" s="2"/>
    </row>
    <row r="376" spans="1:14" ht="30" customHeight="1">
      <c r="A376" s="2"/>
      <c r="B376" s="2"/>
      <c r="C376" s="20" t="s">
        <v>822</v>
      </c>
      <c r="D376" s="126" t="s">
        <v>823</v>
      </c>
      <c r="E376" s="126"/>
      <c r="F376" s="126"/>
      <c r="G376" s="126"/>
      <c r="H376" s="126"/>
      <c r="I376" s="126"/>
      <c r="J376" s="126"/>
      <c r="K376" s="126"/>
      <c r="L376" s="126"/>
      <c r="M376" s="2"/>
      <c r="N376" s="2"/>
    </row>
    <row r="377" spans="1:14" ht="45" customHeight="1">
      <c r="A377" s="2"/>
      <c r="B377" s="2"/>
      <c r="C377" s="18" t="s">
        <v>341</v>
      </c>
      <c r="D377" s="127" t="s">
        <v>926</v>
      </c>
      <c r="E377" s="127"/>
      <c r="F377" s="127"/>
      <c r="G377" s="19" t="s">
        <v>818</v>
      </c>
      <c r="H377" s="127" t="s">
        <v>819</v>
      </c>
      <c r="I377" s="127"/>
      <c r="J377" s="19" t="s">
        <v>891</v>
      </c>
      <c r="K377" s="128" t="s">
        <v>821</v>
      </c>
      <c r="L377" s="127"/>
      <c r="M377" s="2"/>
      <c r="N377" s="2"/>
    </row>
    <row r="378" spans="1:14" ht="30" customHeight="1">
      <c r="A378" s="2"/>
      <c r="B378" s="2"/>
      <c r="C378" s="20" t="s">
        <v>822</v>
      </c>
      <c r="D378" s="126" t="s">
        <v>823</v>
      </c>
      <c r="E378" s="126"/>
      <c r="F378" s="126"/>
      <c r="G378" s="126"/>
      <c r="H378" s="126"/>
      <c r="I378" s="126"/>
      <c r="J378" s="126"/>
      <c r="K378" s="126"/>
      <c r="L378" s="126"/>
      <c r="M378" s="2"/>
      <c r="N378" s="2"/>
    </row>
    <row r="379" spans="1:14" ht="45" customHeight="1">
      <c r="A379" s="2"/>
      <c r="B379" s="2"/>
      <c r="C379" s="18" t="s">
        <v>927</v>
      </c>
      <c r="D379" s="127" t="s">
        <v>928</v>
      </c>
      <c r="E379" s="127"/>
      <c r="F379" s="127"/>
      <c r="G379" s="19" t="s">
        <v>818</v>
      </c>
      <c r="H379" s="127" t="s">
        <v>929</v>
      </c>
      <c r="I379" s="127"/>
      <c r="J379" s="19" t="s">
        <v>930</v>
      </c>
      <c r="K379" s="128" t="s">
        <v>821</v>
      </c>
      <c r="L379" s="127"/>
      <c r="M379" s="2"/>
      <c r="N379" s="2"/>
    </row>
    <row r="380" spans="1:14" ht="30" customHeight="1">
      <c r="A380" s="2"/>
      <c r="B380" s="2"/>
      <c r="C380" s="20" t="s">
        <v>822</v>
      </c>
      <c r="D380" s="126" t="s">
        <v>931</v>
      </c>
      <c r="E380" s="126"/>
      <c r="F380" s="126"/>
      <c r="G380" s="126"/>
      <c r="H380" s="126"/>
      <c r="I380" s="126"/>
      <c r="J380" s="126"/>
      <c r="K380" s="126"/>
      <c r="L380" s="126"/>
      <c r="M380" s="2"/>
      <c r="N380" s="2"/>
    </row>
    <row r="381" spans="1:14" ht="45" customHeight="1">
      <c r="A381" s="2"/>
      <c r="B381" s="2"/>
      <c r="C381" s="18" t="s">
        <v>932</v>
      </c>
      <c r="D381" s="127" t="s">
        <v>933</v>
      </c>
      <c r="E381" s="127"/>
      <c r="F381" s="127"/>
      <c r="G381" s="19" t="s">
        <v>818</v>
      </c>
      <c r="H381" s="127" t="s">
        <v>929</v>
      </c>
      <c r="I381" s="127"/>
      <c r="J381" s="19" t="s">
        <v>934</v>
      </c>
      <c r="K381" s="128" t="s">
        <v>821</v>
      </c>
      <c r="L381" s="127"/>
      <c r="M381" s="2"/>
      <c r="N381" s="2"/>
    </row>
    <row r="382" spans="1:14" ht="30" customHeight="1">
      <c r="A382" s="2"/>
      <c r="B382" s="2"/>
      <c r="C382" s="20" t="s">
        <v>822</v>
      </c>
      <c r="D382" s="126" t="s">
        <v>931</v>
      </c>
      <c r="E382" s="126"/>
      <c r="F382" s="126"/>
      <c r="G382" s="126"/>
      <c r="H382" s="126"/>
      <c r="I382" s="126"/>
      <c r="J382" s="126"/>
      <c r="K382" s="126"/>
      <c r="L382" s="126"/>
      <c r="M382" s="2"/>
      <c r="N382" s="2"/>
    </row>
    <row r="383" spans="1:14" ht="45" customHeight="1">
      <c r="A383" s="2"/>
      <c r="B383" s="2"/>
      <c r="C383" s="18" t="s">
        <v>935</v>
      </c>
      <c r="D383" s="127" t="s">
        <v>936</v>
      </c>
      <c r="E383" s="127"/>
      <c r="F383" s="127"/>
      <c r="G383" s="19" t="s">
        <v>818</v>
      </c>
      <c r="H383" s="127" t="s">
        <v>929</v>
      </c>
      <c r="I383" s="127"/>
      <c r="J383" s="19" t="s">
        <v>934</v>
      </c>
      <c r="K383" s="128" t="s">
        <v>821</v>
      </c>
      <c r="L383" s="127"/>
      <c r="M383" s="2"/>
      <c r="N383" s="2"/>
    </row>
    <row r="384" spans="1:14" ht="30" customHeight="1">
      <c r="A384" s="2"/>
      <c r="B384" s="2"/>
      <c r="C384" s="20" t="s">
        <v>822</v>
      </c>
      <c r="D384" s="126" t="s">
        <v>931</v>
      </c>
      <c r="E384" s="126"/>
      <c r="F384" s="126"/>
      <c r="G384" s="126"/>
      <c r="H384" s="126"/>
      <c r="I384" s="126"/>
      <c r="J384" s="126"/>
      <c r="K384" s="126"/>
      <c r="L384" s="126"/>
      <c r="M384" s="2"/>
      <c r="N384" s="2"/>
    </row>
    <row r="385" spans="1:14" ht="45" customHeight="1">
      <c r="A385" s="2"/>
      <c r="B385" s="2"/>
      <c r="C385" s="18" t="s">
        <v>937</v>
      </c>
      <c r="D385" s="127" t="s">
        <v>938</v>
      </c>
      <c r="E385" s="127"/>
      <c r="F385" s="127"/>
      <c r="G385" s="19" t="s">
        <v>818</v>
      </c>
      <c r="H385" s="127" t="s">
        <v>929</v>
      </c>
      <c r="I385" s="127"/>
      <c r="J385" s="19" t="s">
        <v>939</v>
      </c>
      <c r="K385" s="128" t="s">
        <v>821</v>
      </c>
      <c r="L385" s="127"/>
      <c r="M385" s="2"/>
      <c r="N385" s="2"/>
    </row>
    <row r="386" spans="1:14" ht="30" customHeight="1">
      <c r="A386" s="2"/>
      <c r="B386" s="2"/>
      <c r="C386" s="20" t="s">
        <v>822</v>
      </c>
      <c r="D386" s="126" t="s">
        <v>931</v>
      </c>
      <c r="E386" s="126"/>
      <c r="F386" s="126"/>
      <c r="G386" s="126"/>
      <c r="H386" s="126"/>
      <c r="I386" s="126"/>
      <c r="J386" s="126"/>
      <c r="K386" s="126"/>
      <c r="L386" s="126"/>
      <c r="M386" s="2"/>
      <c r="N386" s="2"/>
    </row>
    <row r="387" spans="1:14" ht="45" customHeight="1">
      <c r="A387" s="2"/>
      <c r="B387" s="2"/>
      <c r="C387" s="18" t="s">
        <v>940</v>
      </c>
      <c r="D387" s="127" t="s">
        <v>941</v>
      </c>
      <c r="E387" s="127"/>
      <c r="F387" s="127"/>
      <c r="G387" s="19" t="s">
        <v>818</v>
      </c>
      <c r="H387" s="127" t="s">
        <v>929</v>
      </c>
      <c r="I387" s="127"/>
      <c r="J387" s="19" t="s">
        <v>939</v>
      </c>
      <c r="K387" s="128" t="s">
        <v>821</v>
      </c>
      <c r="L387" s="127"/>
      <c r="M387" s="2"/>
      <c r="N387" s="2"/>
    </row>
    <row r="388" spans="1:14" ht="30" customHeight="1">
      <c r="A388" s="2"/>
      <c r="B388" s="2"/>
      <c r="C388" s="20" t="s">
        <v>822</v>
      </c>
      <c r="D388" s="126" t="s">
        <v>931</v>
      </c>
      <c r="E388" s="126"/>
      <c r="F388" s="126"/>
      <c r="G388" s="126"/>
      <c r="H388" s="126"/>
      <c r="I388" s="126"/>
      <c r="J388" s="126"/>
      <c r="K388" s="126"/>
      <c r="L388" s="126"/>
      <c r="M388" s="2"/>
      <c r="N388" s="2"/>
    </row>
    <row r="389" spans="1:14" ht="45" customHeight="1">
      <c r="A389" s="2"/>
      <c r="B389" s="2"/>
      <c r="C389" s="18" t="s">
        <v>942</v>
      </c>
      <c r="D389" s="127" t="s">
        <v>943</v>
      </c>
      <c r="E389" s="127"/>
      <c r="F389" s="127"/>
      <c r="G389" s="19" t="s">
        <v>818</v>
      </c>
      <c r="H389" s="127" t="s">
        <v>929</v>
      </c>
      <c r="I389" s="127"/>
      <c r="J389" s="19" t="s">
        <v>944</v>
      </c>
      <c r="K389" s="128" t="s">
        <v>821</v>
      </c>
      <c r="L389" s="127"/>
      <c r="M389" s="2"/>
      <c r="N389" s="2"/>
    </row>
    <row r="390" spans="1:14" ht="30" customHeight="1">
      <c r="A390" s="2"/>
      <c r="B390" s="2"/>
      <c r="C390" s="20" t="s">
        <v>822</v>
      </c>
      <c r="D390" s="126" t="s">
        <v>931</v>
      </c>
      <c r="E390" s="126"/>
      <c r="F390" s="126"/>
      <c r="G390" s="126"/>
      <c r="H390" s="126"/>
      <c r="I390" s="126"/>
      <c r="J390" s="126"/>
      <c r="K390" s="126"/>
      <c r="L390" s="126"/>
      <c r="M390" s="2"/>
      <c r="N390" s="2"/>
    </row>
    <row r="391" spans="1:14" ht="45" customHeight="1">
      <c r="A391" s="2"/>
      <c r="B391" s="2"/>
      <c r="C391" s="18" t="s">
        <v>945</v>
      </c>
      <c r="D391" s="127" t="s">
        <v>946</v>
      </c>
      <c r="E391" s="127"/>
      <c r="F391" s="127"/>
      <c r="G391" s="19" t="s">
        <v>818</v>
      </c>
      <c r="H391" s="127" t="s">
        <v>929</v>
      </c>
      <c r="I391" s="127"/>
      <c r="J391" s="19" t="s">
        <v>944</v>
      </c>
      <c r="K391" s="128" t="s">
        <v>821</v>
      </c>
      <c r="L391" s="127"/>
      <c r="M391" s="2"/>
      <c r="N391" s="2"/>
    </row>
    <row r="392" spans="1:14" ht="30" customHeight="1">
      <c r="A392" s="2"/>
      <c r="B392" s="2"/>
      <c r="C392" s="20" t="s">
        <v>822</v>
      </c>
      <c r="D392" s="126" t="s">
        <v>931</v>
      </c>
      <c r="E392" s="126"/>
      <c r="F392" s="126"/>
      <c r="G392" s="126"/>
      <c r="H392" s="126"/>
      <c r="I392" s="126"/>
      <c r="J392" s="126"/>
      <c r="K392" s="126"/>
      <c r="L392" s="126"/>
      <c r="M392" s="2"/>
      <c r="N392" s="2"/>
    </row>
    <row r="393" spans="1:14" ht="45" customHeight="1">
      <c r="A393" s="2"/>
      <c r="B393" s="2"/>
      <c r="C393" s="18" t="s">
        <v>947</v>
      </c>
      <c r="D393" s="127" t="s">
        <v>948</v>
      </c>
      <c r="E393" s="127"/>
      <c r="F393" s="127"/>
      <c r="G393" s="19" t="s">
        <v>818</v>
      </c>
      <c r="H393" s="127" t="s">
        <v>929</v>
      </c>
      <c r="I393" s="127"/>
      <c r="J393" s="19" t="s">
        <v>949</v>
      </c>
      <c r="K393" s="128" t="s">
        <v>821</v>
      </c>
      <c r="L393" s="127"/>
      <c r="M393" s="2"/>
      <c r="N393" s="2"/>
    </row>
    <row r="394" spans="1:14" ht="30" customHeight="1">
      <c r="A394" s="2"/>
      <c r="B394" s="2"/>
      <c r="C394" s="20" t="s">
        <v>822</v>
      </c>
      <c r="D394" s="126" t="s">
        <v>931</v>
      </c>
      <c r="E394" s="126"/>
      <c r="F394" s="126"/>
      <c r="G394" s="126"/>
      <c r="H394" s="126"/>
      <c r="I394" s="126"/>
      <c r="J394" s="126"/>
      <c r="K394" s="126"/>
      <c r="L394" s="126"/>
      <c r="M394" s="2"/>
      <c r="N394" s="2"/>
    </row>
    <row r="395" spans="1:14" ht="45" customHeight="1">
      <c r="A395" s="2"/>
      <c r="B395" s="2"/>
      <c r="C395" s="18" t="s">
        <v>950</v>
      </c>
      <c r="D395" s="127" t="s">
        <v>951</v>
      </c>
      <c r="E395" s="127"/>
      <c r="F395" s="127"/>
      <c r="G395" s="19" t="s">
        <v>818</v>
      </c>
      <c r="H395" s="127" t="s">
        <v>929</v>
      </c>
      <c r="I395" s="127"/>
      <c r="J395" s="19" t="s">
        <v>949</v>
      </c>
      <c r="K395" s="128" t="s">
        <v>821</v>
      </c>
      <c r="L395" s="127"/>
      <c r="M395" s="2"/>
      <c r="N395" s="2"/>
    </row>
    <row r="396" spans="1:14" ht="30" customHeight="1">
      <c r="A396" s="2"/>
      <c r="B396" s="2"/>
      <c r="C396" s="20" t="s">
        <v>822</v>
      </c>
      <c r="D396" s="126" t="s">
        <v>931</v>
      </c>
      <c r="E396" s="126"/>
      <c r="F396" s="126"/>
      <c r="G396" s="126"/>
      <c r="H396" s="126"/>
      <c r="I396" s="126"/>
      <c r="J396" s="126"/>
      <c r="K396" s="126"/>
      <c r="L396" s="126"/>
      <c r="M396" s="2"/>
      <c r="N396" s="2"/>
    </row>
    <row r="397" spans="1:14" ht="45" customHeight="1">
      <c r="A397" s="2"/>
      <c r="B397" s="2"/>
      <c r="C397" s="18" t="s">
        <v>952</v>
      </c>
      <c r="D397" s="127" t="s">
        <v>953</v>
      </c>
      <c r="E397" s="127"/>
      <c r="F397" s="127"/>
      <c r="G397" s="19" t="s">
        <v>818</v>
      </c>
      <c r="H397" s="127" t="s">
        <v>929</v>
      </c>
      <c r="I397" s="127"/>
      <c r="J397" s="19" t="s">
        <v>954</v>
      </c>
      <c r="K397" s="128" t="s">
        <v>821</v>
      </c>
      <c r="L397" s="127"/>
      <c r="M397" s="2"/>
      <c r="N397" s="2"/>
    </row>
    <row r="398" spans="1:14" ht="30" customHeight="1">
      <c r="A398" s="2"/>
      <c r="B398" s="2"/>
      <c r="C398" s="20" t="s">
        <v>822</v>
      </c>
      <c r="D398" s="126" t="s">
        <v>931</v>
      </c>
      <c r="E398" s="126"/>
      <c r="F398" s="126"/>
      <c r="G398" s="126"/>
      <c r="H398" s="126"/>
      <c r="I398" s="126"/>
      <c r="J398" s="126"/>
      <c r="K398" s="126"/>
      <c r="L398" s="126"/>
      <c r="M398" s="2"/>
      <c r="N398" s="2"/>
    </row>
    <row r="399" spans="1:14" ht="45" customHeight="1">
      <c r="A399" s="2"/>
      <c r="B399" s="2"/>
      <c r="C399" s="18" t="s">
        <v>955</v>
      </c>
      <c r="D399" s="127" t="s">
        <v>956</v>
      </c>
      <c r="E399" s="127"/>
      <c r="F399" s="127"/>
      <c r="G399" s="19" t="s">
        <v>818</v>
      </c>
      <c r="H399" s="127" t="s">
        <v>929</v>
      </c>
      <c r="I399" s="127"/>
      <c r="J399" s="19" t="s">
        <v>957</v>
      </c>
      <c r="K399" s="128" t="s">
        <v>821</v>
      </c>
      <c r="L399" s="127"/>
      <c r="M399" s="2"/>
      <c r="N399" s="2"/>
    </row>
    <row r="400" spans="1:14" ht="30" customHeight="1">
      <c r="A400" s="2"/>
      <c r="B400" s="2"/>
      <c r="C400" s="20" t="s">
        <v>822</v>
      </c>
      <c r="D400" s="126" t="s">
        <v>931</v>
      </c>
      <c r="E400" s="126"/>
      <c r="F400" s="126"/>
      <c r="G400" s="126"/>
      <c r="H400" s="126"/>
      <c r="I400" s="126"/>
      <c r="J400" s="126"/>
      <c r="K400" s="126"/>
      <c r="L400" s="126"/>
      <c r="M400" s="2"/>
      <c r="N400" s="2"/>
    </row>
    <row r="401" spans="1:14" ht="45" customHeight="1">
      <c r="A401" s="2"/>
      <c r="B401" s="2"/>
      <c r="C401" s="18" t="s">
        <v>55</v>
      </c>
      <c r="D401" s="127" t="s">
        <v>958</v>
      </c>
      <c r="E401" s="127"/>
      <c r="F401" s="127"/>
      <c r="G401" s="19" t="s">
        <v>7</v>
      </c>
      <c r="H401" s="127" t="s">
        <v>959</v>
      </c>
      <c r="I401" s="127"/>
      <c r="J401" s="19" t="s">
        <v>960</v>
      </c>
      <c r="K401" s="127" t="s">
        <v>961</v>
      </c>
      <c r="L401" s="127"/>
      <c r="M401" s="2"/>
      <c r="N401" s="2"/>
    </row>
    <row r="402" spans="1:14" ht="30" customHeight="1">
      <c r="A402" s="2"/>
      <c r="B402" s="2"/>
      <c r="C402" s="20" t="s">
        <v>822</v>
      </c>
      <c r="D402" s="126" t="s">
        <v>962</v>
      </c>
      <c r="E402" s="126"/>
      <c r="F402" s="126"/>
      <c r="G402" s="126"/>
      <c r="H402" s="126"/>
      <c r="I402" s="126"/>
      <c r="J402" s="126"/>
      <c r="K402" s="126"/>
      <c r="L402" s="126"/>
      <c r="M402" s="2"/>
      <c r="N402" s="2"/>
    </row>
    <row r="403" spans="1:14" ht="45" customHeight="1">
      <c r="A403" s="2"/>
      <c r="B403" s="2"/>
      <c r="C403" s="18" t="s">
        <v>57</v>
      </c>
      <c r="D403" s="127" t="s">
        <v>963</v>
      </c>
      <c r="E403" s="127"/>
      <c r="F403" s="127"/>
      <c r="G403" s="19" t="s">
        <v>7</v>
      </c>
      <c r="H403" s="127" t="s">
        <v>959</v>
      </c>
      <c r="I403" s="127"/>
      <c r="J403" s="19" t="s">
        <v>960</v>
      </c>
      <c r="K403" s="127" t="s">
        <v>961</v>
      </c>
      <c r="L403" s="127"/>
      <c r="M403" s="2"/>
      <c r="N403" s="2"/>
    </row>
    <row r="404" spans="1:14" ht="30" customHeight="1">
      <c r="A404" s="2"/>
      <c r="B404" s="2"/>
      <c r="C404" s="20" t="s">
        <v>822</v>
      </c>
      <c r="D404" s="126" t="s">
        <v>964</v>
      </c>
      <c r="E404" s="126"/>
      <c r="F404" s="126"/>
      <c r="G404" s="126"/>
      <c r="H404" s="126"/>
      <c r="I404" s="126"/>
      <c r="J404" s="126"/>
      <c r="K404" s="126"/>
      <c r="L404" s="126"/>
      <c r="M404" s="2"/>
      <c r="N404" s="2"/>
    </row>
    <row r="405" spans="1:14" ht="45" customHeight="1">
      <c r="A405" s="2"/>
      <c r="B405" s="2"/>
      <c r="C405" s="18" t="s">
        <v>59</v>
      </c>
      <c r="D405" s="127" t="s">
        <v>965</v>
      </c>
      <c r="E405" s="127"/>
      <c r="F405" s="127"/>
      <c r="G405" s="19" t="s">
        <v>7</v>
      </c>
      <c r="H405" s="127" t="s">
        <v>959</v>
      </c>
      <c r="I405" s="127"/>
      <c r="J405" s="19" t="s">
        <v>960</v>
      </c>
      <c r="K405" s="127" t="s">
        <v>961</v>
      </c>
      <c r="L405" s="127"/>
      <c r="M405" s="2"/>
      <c r="N405" s="2"/>
    </row>
    <row r="406" spans="1:14" ht="30" customHeight="1">
      <c r="A406" s="2"/>
      <c r="B406" s="2"/>
      <c r="C406" s="20" t="s">
        <v>822</v>
      </c>
      <c r="D406" s="126" t="s">
        <v>966</v>
      </c>
      <c r="E406" s="126"/>
      <c r="F406" s="126"/>
      <c r="G406" s="126"/>
      <c r="H406" s="126"/>
      <c r="I406" s="126"/>
      <c r="J406" s="126"/>
      <c r="K406" s="126"/>
      <c r="L406" s="126"/>
      <c r="M406" s="2"/>
      <c r="N406" s="2"/>
    </row>
    <row r="407" spans="1:14" ht="45" customHeight="1">
      <c r="A407" s="2"/>
      <c r="B407" s="2"/>
      <c r="C407" s="18" t="s">
        <v>61</v>
      </c>
      <c r="D407" s="127" t="s">
        <v>967</v>
      </c>
      <c r="E407" s="127"/>
      <c r="F407" s="127"/>
      <c r="G407" s="19" t="s">
        <v>7</v>
      </c>
      <c r="H407" s="127" t="s">
        <v>959</v>
      </c>
      <c r="I407" s="127"/>
      <c r="J407" s="19" t="s">
        <v>960</v>
      </c>
      <c r="K407" s="127" t="s">
        <v>961</v>
      </c>
      <c r="L407" s="127"/>
      <c r="M407" s="2"/>
      <c r="N407" s="2"/>
    </row>
    <row r="408" spans="1:14" ht="30" customHeight="1">
      <c r="A408" s="2"/>
      <c r="B408" s="2"/>
      <c r="C408" s="20" t="s">
        <v>822</v>
      </c>
      <c r="D408" s="126" t="s">
        <v>968</v>
      </c>
      <c r="E408" s="126"/>
      <c r="F408" s="126"/>
      <c r="G408" s="126"/>
      <c r="H408" s="126"/>
      <c r="I408" s="126"/>
      <c r="J408" s="126"/>
      <c r="K408" s="126"/>
      <c r="L408" s="126"/>
      <c r="M408" s="2"/>
      <c r="N408" s="2"/>
    </row>
    <row r="409" spans="1:14" ht="45" customHeight="1">
      <c r="A409" s="2"/>
      <c r="B409" s="2"/>
      <c r="C409" s="18" t="s">
        <v>107</v>
      </c>
      <c r="D409" s="127" t="s">
        <v>969</v>
      </c>
      <c r="E409" s="127"/>
      <c r="F409" s="127"/>
      <c r="G409" s="19" t="s">
        <v>7</v>
      </c>
      <c r="H409" s="127" t="s">
        <v>959</v>
      </c>
      <c r="I409" s="127"/>
      <c r="J409" s="19" t="s">
        <v>960</v>
      </c>
      <c r="K409" s="127" t="s">
        <v>961</v>
      </c>
      <c r="L409" s="127"/>
      <c r="M409" s="2"/>
      <c r="N409" s="2"/>
    </row>
    <row r="410" spans="1:14" ht="30" customHeight="1">
      <c r="A410" s="2"/>
      <c r="B410" s="2"/>
      <c r="C410" s="20" t="s">
        <v>822</v>
      </c>
      <c r="D410" s="126" t="s">
        <v>970</v>
      </c>
      <c r="E410" s="126"/>
      <c r="F410" s="126"/>
      <c r="G410" s="126"/>
      <c r="H410" s="126"/>
      <c r="I410" s="126"/>
      <c r="J410" s="126"/>
      <c r="K410" s="126"/>
      <c r="L410" s="126"/>
      <c r="M410" s="2"/>
      <c r="N410" s="2"/>
    </row>
    <row r="411" spans="1:14" ht="45" customHeight="1">
      <c r="A411" s="2"/>
      <c r="B411" s="2"/>
      <c r="C411" s="18" t="s">
        <v>971</v>
      </c>
      <c r="D411" s="127" t="s">
        <v>972</v>
      </c>
      <c r="E411" s="127"/>
      <c r="F411" s="127"/>
      <c r="G411" s="19" t="s">
        <v>7</v>
      </c>
      <c r="H411" s="127" t="s">
        <v>959</v>
      </c>
      <c r="I411" s="127"/>
      <c r="J411" s="19" t="s">
        <v>960</v>
      </c>
      <c r="K411" s="127" t="s">
        <v>961</v>
      </c>
      <c r="L411" s="127"/>
      <c r="M411" s="2"/>
      <c r="N411" s="2"/>
    </row>
    <row r="412" spans="1:14" ht="30" customHeight="1">
      <c r="A412" s="2"/>
      <c r="B412" s="2"/>
      <c r="C412" s="20" t="s">
        <v>822</v>
      </c>
      <c r="D412" s="126" t="s">
        <v>970</v>
      </c>
      <c r="E412" s="126"/>
      <c r="F412" s="126"/>
      <c r="G412" s="126"/>
      <c r="H412" s="126"/>
      <c r="I412" s="126"/>
      <c r="J412" s="126"/>
      <c r="K412" s="126"/>
      <c r="L412" s="126"/>
      <c r="M412" s="2"/>
      <c r="N412" s="2"/>
    </row>
    <row r="413" spans="1:14" ht="45" customHeight="1">
      <c r="A413" s="2"/>
      <c r="B413" s="2"/>
      <c r="C413" s="18" t="s">
        <v>973</v>
      </c>
      <c r="D413" s="127" t="s">
        <v>974</v>
      </c>
      <c r="E413" s="127"/>
      <c r="F413" s="127"/>
      <c r="G413" s="19" t="s">
        <v>7</v>
      </c>
      <c r="H413" s="127" t="s">
        <v>959</v>
      </c>
      <c r="I413" s="127"/>
      <c r="J413" s="19" t="s">
        <v>960</v>
      </c>
      <c r="K413" s="127" t="s">
        <v>961</v>
      </c>
      <c r="L413" s="127"/>
      <c r="M413" s="2"/>
      <c r="N413" s="2"/>
    </row>
    <row r="414" spans="1:14" ht="30" customHeight="1">
      <c r="A414" s="2"/>
      <c r="B414" s="2"/>
      <c r="C414" s="20" t="s">
        <v>822</v>
      </c>
      <c r="D414" s="126" t="s">
        <v>970</v>
      </c>
      <c r="E414" s="126"/>
      <c r="F414" s="126"/>
      <c r="G414" s="126"/>
      <c r="H414" s="126"/>
      <c r="I414" s="126"/>
      <c r="J414" s="126"/>
      <c r="K414" s="126"/>
      <c r="L414" s="126"/>
      <c r="M414" s="2"/>
      <c r="N414" s="2"/>
    </row>
    <row r="415" spans="1:14" ht="45" customHeight="1">
      <c r="A415" s="2"/>
      <c r="B415" s="2"/>
      <c r="C415" s="18" t="s">
        <v>82</v>
      </c>
      <c r="D415" s="127" t="s">
        <v>975</v>
      </c>
      <c r="E415" s="127"/>
      <c r="F415" s="127"/>
      <c r="G415" s="19" t="s">
        <v>7</v>
      </c>
      <c r="H415" s="127" t="s">
        <v>959</v>
      </c>
      <c r="I415" s="127"/>
      <c r="J415" s="19" t="s">
        <v>960</v>
      </c>
      <c r="K415" s="127" t="s">
        <v>961</v>
      </c>
      <c r="L415" s="127"/>
      <c r="M415" s="2"/>
      <c r="N415" s="2"/>
    </row>
    <row r="416" spans="1:14" ht="30" customHeight="1">
      <c r="A416" s="2"/>
      <c r="B416" s="2"/>
      <c r="C416" s="20" t="s">
        <v>822</v>
      </c>
      <c r="D416" s="126" t="s">
        <v>970</v>
      </c>
      <c r="E416" s="126"/>
      <c r="F416" s="126"/>
      <c r="G416" s="126"/>
      <c r="H416" s="126"/>
      <c r="I416" s="126"/>
      <c r="J416" s="126"/>
      <c r="K416" s="126"/>
      <c r="L416" s="126"/>
      <c r="M416" s="2"/>
      <c r="N416" s="2"/>
    </row>
    <row r="417" spans="1:14" ht="45" customHeight="1">
      <c r="A417" s="2"/>
      <c r="B417" s="2"/>
      <c r="C417" s="18" t="s">
        <v>976</v>
      </c>
      <c r="D417" s="127" t="s">
        <v>977</v>
      </c>
      <c r="E417" s="127"/>
      <c r="F417" s="127"/>
      <c r="G417" s="19" t="s">
        <v>7</v>
      </c>
      <c r="H417" s="127" t="s">
        <v>959</v>
      </c>
      <c r="I417" s="127"/>
      <c r="J417" s="19" t="s">
        <v>960</v>
      </c>
      <c r="K417" s="127" t="s">
        <v>961</v>
      </c>
      <c r="L417" s="127"/>
      <c r="M417" s="2"/>
      <c r="N417" s="2"/>
    </row>
    <row r="418" spans="1:14" ht="30" customHeight="1">
      <c r="A418" s="2"/>
      <c r="B418" s="2"/>
      <c r="C418" s="20" t="s">
        <v>822</v>
      </c>
      <c r="D418" s="126" t="s">
        <v>970</v>
      </c>
      <c r="E418" s="126"/>
      <c r="F418" s="126"/>
      <c r="G418" s="126"/>
      <c r="H418" s="126"/>
      <c r="I418" s="126"/>
      <c r="J418" s="126"/>
      <c r="K418" s="126"/>
      <c r="L418" s="126"/>
      <c r="M418" s="2"/>
      <c r="N418" s="2"/>
    </row>
    <row r="419" spans="1:14" ht="45" customHeight="1">
      <c r="A419" s="2"/>
      <c r="B419" s="2"/>
      <c r="C419" s="18" t="s">
        <v>75</v>
      </c>
      <c r="D419" s="127" t="s">
        <v>978</v>
      </c>
      <c r="E419" s="127"/>
      <c r="F419" s="127"/>
      <c r="G419" s="19" t="s">
        <v>7</v>
      </c>
      <c r="H419" s="127" t="s">
        <v>959</v>
      </c>
      <c r="I419" s="127"/>
      <c r="J419" s="19" t="s">
        <v>960</v>
      </c>
      <c r="K419" s="127" t="s">
        <v>961</v>
      </c>
      <c r="L419" s="127"/>
      <c r="M419" s="2"/>
      <c r="N419" s="2"/>
    </row>
    <row r="420" spans="1:14" ht="30" customHeight="1">
      <c r="A420" s="2"/>
      <c r="B420" s="2"/>
      <c r="C420" s="20" t="s">
        <v>822</v>
      </c>
      <c r="D420" s="126" t="s">
        <v>970</v>
      </c>
      <c r="E420" s="126"/>
      <c r="F420" s="126"/>
      <c r="G420" s="126"/>
      <c r="H420" s="126"/>
      <c r="I420" s="126"/>
      <c r="J420" s="126"/>
      <c r="K420" s="126"/>
      <c r="L420" s="126"/>
      <c r="M420" s="2"/>
      <c r="N420" s="2"/>
    </row>
    <row r="421" spans="1:14" ht="45" customHeight="1">
      <c r="A421" s="2"/>
      <c r="B421" s="2"/>
      <c r="C421" s="18" t="s">
        <v>979</v>
      </c>
      <c r="D421" s="127" t="s">
        <v>980</v>
      </c>
      <c r="E421" s="127"/>
      <c r="F421" s="127"/>
      <c r="G421" s="19" t="s">
        <v>7</v>
      </c>
      <c r="H421" s="127" t="s">
        <v>959</v>
      </c>
      <c r="I421" s="127"/>
      <c r="J421" s="19" t="s">
        <v>960</v>
      </c>
      <c r="K421" s="127" t="s">
        <v>961</v>
      </c>
      <c r="L421" s="127"/>
      <c r="M421" s="2"/>
      <c r="N421" s="2"/>
    </row>
    <row r="422" spans="1:14" ht="30" customHeight="1">
      <c r="A422" s="2"/>
      <c r="B422" s="2"/>
      <c r="C422" s="20" t="s">
        <v>822</v>
      </c>
      <c r="D422" s="126" t="s">
        <v>970</v>
      </c>
      <c r="E422" s="126"/>
      <c r="F422" s="126"/>
      <c r="G422" s="126"/>
      <c r="H422" s="126"/>
      <c r="I422" s="126"/>
      <c r="J422" s="126"/>
      <c r="K422" s="126"/>
      <c r="L422" s="126"/>
      <c r="M422" s="2"/>
      <c r="N422" s="2"/>
    </row>
    <row r="423" spans="1:14" ht="45" customHeight="1">
      <c r="A423" s="2"/>
      <c r="B423" s="2"/>
      <c r="C423" s="18" t="s">
        <v>981</v>
      </c>
      <c r="D423" s="127" t="s">
        <v>982</v>
      </c>
      <c r="E423" s="127"/>
      <c r="F423" s="127"/>
      <c r="G423" s="19" t="s">
        <v>7</v>
      </c>
      <c r="H423" s="127" t="s">
        <v>959</v>
      </c>
      <c r="I423" s="127"/>
      <c r="J423" s="19" t="s">
        <v>960</v>
      </c>
      <c r="K423" s="127" t="s">
        <v>961</v>
      </c>
      <c r="L423" s="127"/>
      <c r="M423" s="2"/>
      <c r="N423" s="2"/>
    </row>
    <row r="424" spans="1:14" ht="30" customHeight="1">
      <c r="A424" s="2"/>
      <c r="B424" s="2"/>
      <c r="C424" s="20" t="s">
        <v>822</v>
      </c>
      <c r="D424" s="126" t="s">
        <v>970</v>
      </c>
      <c r="E424" s="126"/>
      <c r="F424" s="126"/>
      <c r="G424" s="126"/>
      <c r="H424" s="126"/>
      <c r="I424" s="126"/>
      <c r="J424" s="126"/>
      <c r="K424" s="126"/>
      <c r="L424" s="126"/>
      <c r="M424" s="2"/>
      <c r="N424" s="2"/>
    </row>
    <row r="425" spans="1:14" ht="45" customHeight="1">
      <c r="A425" s="2"/>
      <c r="B425" s="2"/>
      <c r="C425" s="18" t="s">
        <v>983</v>
      </c>
      <c r="D425" s="127" t="s">
        <v>984</v>
      </c>
      <c r="E425" s="127"/>
      <c r="F425" s="127"/>
      <c r="G425" s="19" t="s">
        <v>7</v>
      </c>
      <c r="H425" s="127" t="s">
        <v>959</v>
      </c>
      <c r="I425" s="127"/>
      <c r="J425" s="19" t="s">
        <v>960</v>
      </c>
      <c r="K425" s="127" t="s">
        <v>961</v>
      </c>
      <c r="L425" s="127"/>
      <c r="M425" s="2"/>
      <c r="N425" s="2"/>
    </row>
    <row r="426" spans="1:14" ht="30" customHeight="1">
      <c r="A426" s="2"/>
      <c r="B426" s="2"/>
      <c r="C426" s="20" t="s">
        <v>822</v>
      </c>
      <c r="D426" s="126" t="s">
        <v>970</v>
      </c>
      <c r="E426" s="126"/>
      <c r="F426" s="126"/>
      <c r="G426" s="126"/>
      <c r="H426" s="126"/>
      <c r="I426" s="126"/>
      <c r="J426" s="126"/>
      <c r="K426" s="126"/>
      <c r="L426" s="126"/>
      <c r="M426" s="2"/>
      <c r="N426" s="2"/>
    </row>
    <row r="427" spans="1:14" ht="45" customHeight="1">
      <c r="A427" s="2"/>
      <c r="B427" s="2"/>
      <c r="C427" s="18" t="s">
        <v>985</v>
      </c>
      <c r="D427" s="127" t="s">
        <v>986</v>
      </c>
      <c r="E427" s="127"/>
      <c r="F427" s="127"/>
      <c r="G427" s="19" t="s">
        <v>7</v>
      </c>
      <c r="H427" s="127" t="s">
        <v>959</v>
      </c>
      <c r="I427" s="127"/>
      <c r="J427" s="19" t="s">
        <v>960</v>
      </c>
      <c r="K427" s="127" t="s">
        <v>961</v>
      </c>
      <c r="L427" s="127"/>
      <c r="M427" s="2"/>
      <c r="N427" s="2"/>
    </row>
    <row r="428" spans="1:14" ht="30" customHeight="1">
      <c r="A428" s="2"/>
      <c r="B428" s="2"/>
      <c r="C428" s="20" t="s">
        <v>822</v>
      </c>
      <c r="D428" s="126" t="s">
        <v>970</v>
      </c>
      <c r="E428" s="126"/>
      <c r="F428" s="126"/>
      <c r="G428" s="126"/>
      <c r="H428" s="126"/>
      <c r="I428" s="126"/>
      <c r="J428" s="126"/>
      <c r="K428" s="126"/>
      <c r="L428" s="126"/>
      <c r="M428" s="2"/>
      <c r="N428" s="2"/>
    </row>
    <row r="429" spans="1:14" ht="45" customHeight="1">
      <c r="A429" s="2"/>
      <c r="B429" s="2"/>
      <c r="C429" s="18" t="s">
        <v>987</v>
      </c>
      <c r="D429" s="127" t="s">
        <v>988</v>
      </c>
      <c r="E429" s="127"/>
      <c r="F429" s="127"/>
      <c r="G429" s="19" t="s">
        <v>7</v>
      </c>
      <c r="H429" s="127" t="s">
        <v>989</v>
      </c>
      <c r="I429" s="127"/>
      <c r="J429" s="19" t="s">
        <v>960</v>
      </c>
      <c r="K429" s="127" t="s">
        <v>961</v>
      </c>
      <c r="L429" s="127"/>
      <c r="M429" s="2"/>
      <c r="N429" s="2"/>
    </row>
    <row r="430" spans="1:14" ht="30" customHeight="1">
      <c r="A430" s="2"/>
      <c r="B430" s="2"/>
      <c r="C430" s="20" t="s">
        <v>822</v>
      </c>
      <c r="D430" s="126" t="s">
        <v>970</v>
      </c>
      <c r="E430" s="126"/>
      <c r="F430" s="126"/>
      <c r="G430" s="126"/>
      <c r="H430" s="126"/>
      <c r="I430" s="126"/>
      <c r="J430" s="126"/>
      <c r="K430" s="126"/>
      <c r="L430" s="126"/>
      <c r="M430" s="2"/>
      <c r="N430" s="2"/>
    </row>
    <row r="431" spans="1:14" ht="45" customHeight="1">
      <c r="A431" s="2"/>
      <c r="B431" s="2"/>
      <c r="C431" s="18" t="s">
        <v>990</v>
      </c>
      <c r="D431" s="127" t="s">
        <v>991</v>
      </c>
      <c r="E431" s="127"/>
      <c r="F431" s="127"/>
      <c r="G431" s="19" t="s">
        <v>7</v>
      </c>
      <c r="H431" s="127" t="s">
        <v>989</v>
      </c>
      <c r="I431" s="127"/>
      <c r="J431" s="19" t="s">
        <v>960</v>
      </c>
      <c r="K431" s="127" t="s">
        <v>961</v>
      </c>
      <c r="L431" s="127"/>
      <c r="M431" s="2"/>
      <c r="N431" s="2"/>
    </row>
    <row r="432" spans="1:14" ht="30" customHeight="1">
      <c r="A432" s="2"/>
      <c r="B432" s="2"/>
      <c r="C432" s="20" t="s">
        <v>822</v>
      </c>
      <c r="D432" s="126" t="s">
        <v>970</v>
      </c>
      <c r="E432" s="126"/>
      <c r="F432" s="126"/>
      <c r="G432" s="126"/>
      <c r="H432" s="126"/>
      <c r="I432" s="126"/>
      <c r="J432" s="126"/>
      <c r="K432" s="126"/>
      <c r="L432" s="126"/>
      <c r="M432" s="2"/>
      <c r="N432" s="2"/>
    </row>
    <row r="433" spans="1:14" ht="45" customHeight="1">
      <c r="A433" s="2"/>
      <c r="B433" s="2"/>
      <c r="C433" s="18" t="s">
        <v>70</v>
      </c>
      <c r="D433" s="127" t="s">
        <v>992</v>
      </c>
      <c r="E433" s="127"/>
      <c r="F433" s="127"/>
      <c r="G433" s="19" t="s">
        <v>7</v>
      </c>
      <c r="H433" s="127" t="s">
        <v>959</v>
      </c>
      <c r="I433" s="127"/>
      <c r="J433" s="19" t="s">
        <v>960</v>
      </c>
      <c r="K433" s="127" t="s">
        <v>961</v>
      </c>
      <c r="L433" s="127"/>
      <c r="M433" s="2"/>
      <c r="N433" s="2"/>
    </row>
    <row r="434" spans="1:14" ht="30" customHeight="1">
      <c r="A434" s="2"/>
      <c r="B434" s="2"/>
      <c r="C434" s="20" t="s">
        <v>822</v>
      </c>
      <c r="D434" s="126" t="s">
        <v>970</v>
      </c>
      <c r="E434" s="126"/>
      <c r="F434" s="126"/>
      <c r="G434" s="126"/>
      <c r="H434" s="126"/>
      <c r="I434" s="126"/>
      <c r="J434" s="126"/>
      <c r="K434" s="126"/>
      <c r="L434" s="126"/>
      <c r="M434" s="2"/>
      <c r="N434" s="2"/>
    </row>
    <row r="435" spans="1:14" ht="45" customHeight="1">
      <c r="A435" s="2"/>
      <c r="B435" s="2"/>
      <c r="C435" s="18" t="s">
        <v>993</v>
      </c>
      <c r="D435" s="127" t="s">
        <v>994</v>
      </c>
      <c r="E435" s="127"/>
      <c r="F435" s="127"/>
      <c r="G435" s="19" t="s">
        <v>7</v>
      </c>
      <c r="H435" s="127" t="s">
        <v>959</v>
      </c>
      <c r="I435" s="127"/>
      <c r="J435" s="19" t="s">
        <v>960</v>
      </c>
      <c r="K435" s="127" t="s">
        <v>961</v>
      </c>
      <c r="L435" s="127"/>
      <c r="M435" s="2"/>
      <c r="N435" s="2"/>
    </row>
    <row r="436" spans="1:14" ht="30" customHeight="1">
      <c r="A436" s="2"/>
      <c r="B436" s="2"/>
      <c r="C436" s="20" t="s">
        <v>822</v>
      </c>
      <c r="D436" s="126" t="s">
        <v>970</v>
      </c>
      <c r="E436" s="126"/>
      <c r="F436" s="126"/>
      <c r="G436" s="126"/>
      <c r="H436" s="126"/>
      <c r="I436" s="126"/>
      <c r="J436" s="126"/>
      <c r="K436" s="126"/>
      <c r="L436" s="126"/>
      <c r="M436" s="2"/>
      <c r="N436" s="2"/>
    </row>
    <row r="437" spans="1:14" ht="45" customHeight="1">
      <c r="A437" s="2"/>
      <c r="B437" s="2"/>
      <c r="C437" s="18" t="s">
        <v>77</v>
      </c>
      <c r="D437" s="127" t="s">
        <v>995</v>
      </c>
      <c r="E437" s="127"/>
      <c r="F437" s="127"/>
      <c r="G437" s="19" t="s">
        <v>7</v>
      </c>
      <c r="H437" s="127" t="s">
        <v>959</v>
      </c>
      <c r="I437" s="127"/>
      <c r="J437" s="19" t="s">
        <v>960</v>
      </c>
      <c r="K437" s="127" t="s">
        <v>961</v>
      </c>
      <c r="L437" s="127"/>
      <c r="M437" s="2"/>
      <c r="N437" s="2"/>
    </row>
    <row r="438" spans="1:14" ht="30" customHeight="1">
      <c r="A438" s="2"/>
      <c r="B438" s="2"/>
      <c r="C438" s="20" t="s">
        <v>822</v>
      </c>
      <c r="D438" s="126" t="s">
        <v>970</v>
      </c>
      <c r="E438" s="126"/>
      <c r="F438" s="126"/>
      <c r="G438" s="126"/>
      <c r="H438" s="126"/>
      <c r="I438" s="126"/>
      <c r="J438" s="126"/>
      <c r="K438" s="126"/>
      <c r="L438" s="126"/>
      <c r="M438" s="2"/>
      <c r="N438" s="2"/>
    </row>
    <row r="439" spans="1:14" ht="45" customHeight="1">
      <c r="A439" s="2"/>
      <c r="B439" s="2"/>
      <c r="C439" s="18" t="s">
        <v>996</v>
      </c>
      <c r="D439" s="127" t="s">
        <v>997</v>
      </c>
      <c r="E439" s="127"/>
      <c r="F439" s="127"/>
      <c r="G439" s="19" t="s">
        <v>7</v>
      </c>
      <c r="H439" s="127" t="s">
        <v>959</v>
      </c>
      <c r="I439" s="127"/>
      <c r="J439" s="19" t="s">
        <v>960</v>
      </c>
      <c r="K439" s="127" t="s">
        <v>961</v>
      </c>
      <c r="L439" s="127"/>
      <c r="M439" s="2"/>
      <c r="N439" s="2"/>
    </row>
    <row r="440" spans="1:14" ht="30" customHeight="1">
      <c r="A440" s="2"/>
      <c r="B440" s="2"/>
      <c r="C440" s="20" t="s">
        <v>822</v>
      </c>
      <c r="D440" s="126" t="s">
        <v>970</v>
      </c>
      <c r="E440" s="126"/>
      <c r="F440" s="126"/>
      <c r="G440" s="126"/>
      <c r="H440" s="126"/>
      <c r="I440" s="126"/>
      <c r="J440" s="126"/>
      <c r="K440" s="126"/>
      <c r="L440" s="126"/>
      <c r="M440" s="2"/>
      <c r="N440" s="2"/>
    </row>
    <row r="441" spans="1:14" ht="45" customHeight="1">
      <c r="A441" s="2"/>
      <c r="B441" s="2"/>
      <c r="C441" s="18" t="s">
        <v>998</v>
      </c>
      <c r="D441" s="127" t="s">
        <v>999</v>
      </c>
      <c r="E441" s="127"/>
      <c r="F441" s="127"/>
      <c r="G441" s="19" t="s">
        <v>7</v>
      </c>
      <c r="H441" s="127" t="s">
        <v>959</v>
      </c>
      <c r="I441" s="127"/>
      <c r="J441" s="19" t="s">
        <v>960</v>
      </c>
      <c r="K441" s="127" t="s">
        <v>961</v>
      </c>
      <c r="L441" s="127"/>
      <c r="M441" s="2"/>
      <c r="N441" s="2"/>
    </row>
    <row r="442" spans="1:14" ht="30" customHeight="1">
      <c r="A442" s="2"/>
      <c r="B442" s="2"/>
      <c r="C442" s="20" t="s">
        <v>822</v>
      </c>
      <c r="D442" s="126" t="s">
        <v>970</v>
      </c>
      <c r="E442" s="126"/>
      <c r="F442" s="126"/>
      <c r="G442" s="126"/>
      <c r="H442" s="126"/>
      <c r="I442" s="126"/>
      <c r="J442" s="126"/>
      <c r="K442" s="126"/>
      <c r="L442" s="126"/>
      <c r="M442" s="2"/>
      <c r="N442" s="2"/>
    </row>
    <row r="443" spans="1:14" ht="45" customHeight="1">
      <c r="A443" s="2"/>
      <c r="B443" s="2"/>
      <c r="C443" s="18" t="s">
        <v>1000</v>
      </c>
      <c r="D443" s="127" t="s">
        <v>1001</v>
      </c>
      <c r="E443" s="127"/>
      <c r="F443" s="127"/>
      <c r="G443" s="19" t="s">
        <v>7</v>
      </c>
      <c r="H443" s="127" t="s">
        <v>959</v>
      </c>
      <c r="I443" s="127"/>
      <c r="J443" s="19" t="s">
        <v>960</v>
      </c>
      <c r="K443" s="127" t="s">
        <v>961</v>
      </c>
      <c r="L443" s="127"/>
      <c r="M443" s="2"/>
      <c r="N443" s="2"/>
    </row>
    <row r="444" spans="1:14" ht="30" customHeight="1">
      <c r="A444" s="2"/>
      <c r="B444" s="2"/>
      <c r="C444" s="20" t="s">
        <v>822</v>
      </c>
      <c r="D444" s="126" t="s">
        <v>970</v>
      </c>
      <c r="E444" s="126"/>
      <c r="F444" s="126"/>
      <c r="G444" s="126"/>
      <c r="H444" s="126"/>
      <c r="I444" s="126"/>
      <c r="J444" s="126"/>
      <c r="K444" s="126"/>
      <c r="L444" s="126"/>
      <c r="M444" s="2"/>
      <c r="N444" s="2"/>
    </row>
    <row r="445" spans="1:14" ht="45" customHeight="1">
      <c r="A445" s="2"/>
      <c r="B445" s="2"/>
      <c r="C445" s="18" t="s">
        <v>1002</v>
      </c>
      <c r="D445" s="127" t="s">
        <v>1003</v>
      </c>
      <c r="E445" s="127"/>
      <c r="F445" s="127"/>
      <c r="G445" s="19" t="s">
        <v>7</v>
      </c>
      <c r="H445" s="127" t="s">
        <v>959</v>
      </c>
      <c r="I445" s="127"/>
      <c r="J445" s="19" t="s">
        <v>960</v>
      </c>
      <c r="K445" s="127" t="s">
        <v>961</v>
      </c>
      <c r="L445" s="127"/>
      <c r="M445" s="2"/>
      <c r="N445" s="2"/>
    </row>
    <row r="446" spans="1:14" ht="30" customHeight="1">
      <c r="A446" s="2"/>
      <c r="B446" s="2"/>
      <c r="C446" s="20" t="s">
        <v>822</v>
      </c>
      <c r="D446" s="126" t="s">
        <v>970</v>
      </c>
      <c r="E446" s="126"/>
      <c r="F446" s="126"/>
      <c r="G446" s="126"/>
      <c r="H446" s="126"/>
      <c r="I446" s="126"/>
      <c r="J446" s="126"/>
      <c r="K446" s="126"/>
      <c r="L446" s="126"/>
      <c r="M446" s="2"/>
      <c r="N446" s="2"/>
    </row>
    <row r="447" spans="1:14" ht="45" customHeight="1">
      <c r="A447" s="2"/>
      <c r="B447" s="2"/>
      <c r="C447" s="18" t="s">
        <v>1004</v>
      </c>
      <c r="D447" s="127" t="s">
        <v>1005</v>
      </c>
      <c r="E447" s="127"/>
      <c r="F447" s="127"/>
      <c r="G447" s="19" t="s">
        <v>7</v>
      </c>
      <c r="H447" s="127" t="s">
        <v>959</v>
      </c>
      <c r="I447" s="127"/>
      <c r="J447" s="19" t="s">
        <v>960</v>
      </c>
      <c r="K447" s="127" t="s">
        <v>961</v>
      </c>
      <c r="L447" s="127"/>
      <c r="M447" s="2"/>
      <c r="N447" s="2"/>
    </row>
    <row r="448" spans="1:14" ht="30" customHeight="1">
      <c r="A448" s="2"/>
      <c r="B448" s="2"/>
      <c r="C448" s="20" t="s">
        <v>822</v>
      </c>
      <c r="D448" s="126" t="s">
        <v>970</v>
      </c>
      <c r="E448" s="126"/>
      <c r="F448" s="126"/>
      <c r="G448" s="126"/>
      <c r="H448" s="126"/>
      <c r="I448" s="126"/>
      <c r="J448" s="126"/>
      <c r="K448" s="126"/>
      <c r="L448" s="126"/>
      <c r="M448" s="2"/>
      <c r="N448" s="2"/>
    </row>
    <row r="449" spans="1:14" ht="45" customHeight="1">
      <c r="A449" s="2"/>
      <c r="B449" s="2"/>
      <c r="C449" s="18" t="s">
        <v>89</v>
      </c>
      <c r="D449" s="127" t="s">
        <v>1006</v>
      </c>
      <c r="E449" s="127"/>
      <c r="F449" s="127"/>
      <c r="G449" s="19" t="s">
        <v>7</v>
      </c>
      <c r="H449" s="127" t="s">
        <v>959</v>
      </c>
      <c r="I449" s="127"/>
      <c r="J449" s="19" t="s">
        <v>960</v>
      </c>
      <c r="K449" s="127" t="s">
        <v>961</v>
      </c>
      <c r="L449" s="127"/>
      <c r="M449" s="2"/>
      <c r="N449" s="2"/>
    </row>
    <row r="450" spans="1:14" ht="30" customHeight="1">
      <c r="A450" s="2"/>
      <c r="B450" s="2"/>
      <c r="C450" s="20" t="s">
        <v>822</v>
      </c>
      <c r="D450" s="126" t="s">
        <v>970</v>
      </c>
      <c r="E450" s="126"/>
      <c r="F450" s="126"/>
      <c r="G450" s="126"/>
      <c r="H450" s="126"/>
      <c r="I450" s="126"/>
      <c r="J450" s="126"/>
      <c r="K450" s="126"/>
      <c r="L450" s="126"/>
      <c r="M450" s="2"/>
      <c r="N450" s="2"/>
    </row>
    <row r="451" spans="1:14" ht="45" customHeight="1">
      <c r="A451" s="2"/>
      <c r="B451" s="2"/>
      <c r="C451" s="18" t="s">
        <v>1007</v>
      </c>
      <c r="D451" s="127" t="s">
        <v>1008</v>
      </c>
      <c r="E451" s="127"/>
      <c r="F451" s="127"/>
      <c r="G451" s="19" t="s">
        <v>7</v>
      </c>
      <c r="H451" s="127" t="s">
        <v>959</v>
      </c>
      <c r="I451" s="127"/>
      <c r="J451" s="19" t="s">
        <v>960</v>
      </c>
      <c r="K451" s="127" t="s">
        <v>961</v>
      </c>
      <c r="L451" s="127"/>
      <c r="M451" s="2"/>
      <c r="N451" s="2"/>
    </row>
    <row r="452" spans="1:14" ht="30" customHeight="1">
      <c r="A452" s="2"/>
      <c r="B452" s="2"/>
      <c r="C452" s="20" t="s">
        <v>822</v>
      </c>
      <c r="D452" s="126" t="s">
        <v>970</v>
      </c>
      <c r="E452" s="126"/>
      <c r="F452" s="126"/>
      <c r="G452" s="126"/>
      <c r="H452" s="126"/>
      <c r="I452" s="126"/>
      <c r="J452" s="126"/>
      <c r="K452" s="126"/>
      <c r="L452" s="126"/>
      <c r="M452" s="2"/>
      <c r="N452" s="2"/>
    </row>
    <row r="453" spans="1:14" ht="45" customHeight="1">
      <c r="A453" s="2"/>
      <c r="B453" s="2"/>
      <c r="C453" s="18" t="s">
        <v>1009</v>
      </c>
      <c r="D453" s="127" t="s">
        <v>1010</v>
      </c>
      <c r="E453" s="127"/>
      <c r="F453" s="127"/>
      <c r="G453" s="19" t="s">
        <v>7</v>
      </c>
      <c r="H453" s="127" t="s">
        <v>959</v>
      </c>
      <c r="I453" s="127"/>
      <c r="J453" s="19" t="s">
        <v>960</v>
      </c>
      <c r="K453" s="127" t="s">
        <v>961</v>
      </c>
      <c r="L453" s="127"/>
      <c r="M453" s="2"/>
      <c r="N453" s="2"/>
    </row>
    <row r="454" spans="1:14" ht="30" customHeight="1">
      <c r="A454" s="2"/>
      <c r="B454" s="2"/>
      <c r="C454" s="20" t="s">
        <v>822</v>
      </c>
      <c r="D454" s="126" t="s">
        <v>970</v>
      </c>
      <c r="E454" s="126"/>
      <c r="F454" s="126"/>
      <c r="G454" s="126"/>
      <c r="H454" s="126"/>
      <c r="I454" s="126"/>
      <c r="J454" s="126"/>
      <c r="K454" s="126"/>
      <c r="L454" s="126"/>
      <c r="M454" s="2"/>
      <c r="N454" s="2"/>
    </row>
    <row r="455" spans="1:14" ht="45" customHeight="1">
      <c r="A455" s="2"/>
      <c r="B455" s="2"/>
      <c r="C455" s="18" t="s">
        <v>1011</v>
      </c>
      <c r="D455" s="127" t="s">
        <v>1012</v>
      </c>
      <c r="E455" s="127"/>
      <c r="F455" s="127"/>
      <c r="G455" s="19" t="s">
        <v>7</v>
      </c>
      <c r="H455" s="127" t="s">
        <v>959</v>
      </c>
      <c r="I455" s="127"/>
      <c r="J455" s="19" t="s">
        <v>960</v>
      </c>
      <c r="K455" s="127" t="s">
        <v>961</v>
      </c>
      <c r="L455" s="127"/>
      <c r="M455" s="2"/>
      <c r="N455" s="2"/>
    </row>
    <row r="456" spans="1:14" ht="30" customHeight="1">
      <c r="A456" s="2"/>
      <c r="B456" s="2"/>
      <c r="C456" s="20" t="s">
        <v>822</v>
      </c>
      <c r="D456" s="126" t="s">
        <v>970</v>
      </c>
      <c r="E456" s="126"/>
      <c r="F456" s="126"/>
      <c r="G456" s="126"/>
      <c r="H456" s="126"/>
      <c r="I456" s="126"/>
      <c r="J456" s="126"/>
      <c r="K456" s="126"/>
      <c r="L456" s="126"/>
      <c r="M456" s="2"/>
      <c r="N456" s="2"/>
    </row>
    <row r="457" spans="1:14" ht="45" customHeight="1">
      <c r="A457" s="2"/>
      <c r="B457" s="2"/>
      <c r="C457" s="18" t="s">
        <v>1013</v>
      </c>
      <c r="D457" s="127" t="s">
        <v>1014</v>
      </c>
      <c r="E457" s="127"/>
      <c r="F457" s="127"/>
      <c r="G457" s="19" t="s">
        <v>7</v>
      </c>
      <c r="H457" s="127" t="s">
        <v>959</v>
      </c>
      <c r="I457" s="127"/>
      <c r="J457" s="19" t="s">
        <v>960</v>
      </c>
      <c r="K457" s="127" t="s">
        <v>961</v>
      </c>
      <c r="L457" s="127"/>
      <c r="M457" s="2"/>
      <c r="N457" s="2"/>
    </row>
    <row r="458" spans="1:14" ht="30" customHeight="1">
      <c r="A458" s="2"/>
      <c r="B458" s="2"/>
      <c r="C458" s="20" t="s">
        <v>822</v>
      </c>
      <c r="D458" s="126" t="s">
        <v>970</v>
      </c>
      <c r="E458" s="126"/>
      <c r="F458" s="126"/>
      <c r="G458" s="126"/>
      <c r="H458" s="126"/>
      <c r="I458" s="126"/>
      <c r="J458" s="126"/>
      <c r="K458" s="126"/>
      <c r="L458" s="126"/>
      <c r="M458" s="2"/>
      <c r="N458" s="2"/>
    </row>
    <row r="459" spans="1:14" ht="45" customHeight="1">
      <c r="A459" s="2"/>
      <c r="B459" s="2"/>
      <c r="C459" s="18" t="s">
        <v>1015</v>
      </c>
      <c r="D459" s="127" t="s">
        <v>1016</v>
      </c>
      <c r="E459" s="127"/>
      <c r="F459" s="127"/>
      <c r="G459" s="19" t="s">
        <v>7</v>
      </c>
      <c r="H459" s="127" t="s">
        <v>989</v>
      </c>
      <c r="I459" s="127"/>
      <c r="J459" s="19" t="s">
        <v>960</v>
      </c>
      <c r="K459" s="127" t="s">
        <v>961</v>
      </c>
      <c r="L459" s="127"/>
      <c r="M459" s="2"/>
      <c r="N459" s="2"/>
    </row>
    <row r="460" spans="1:14" ht="30" customHeight="1">
      <c r="A460" s="2"/>
      <c r="B460" s="2"/>
      <c r="C460" s="20" t="s">
        <v>822</v>
      </c>
      <c r="D460" s="126" t="s">
        <v>970</v>
      </c>
      <c r="E460" s="126"/>
      <c r="F460" s="126"/>
      <c r="G460" s="126"/>
      <c r="H460" s="126"/>
      <c r="I460" s="126"/>
      <c r="J460" s="126"/>
      <c r="K460" s="126"/>
      <c r="L460" s="126"/>
      <c r="M460" s="2"/>
      <c r="N460" s="2"/>
    </row>
    <row r="461" spans="1:14" ht="45" customHeight="1">
      <c r="A461" s="2"/>
      <c r="B461" s="2"/>
      <c r="C461" s="18" t="s">
        <v>87</v>
      </c>
      <c r="D461" s="127" t="s">
        <v>1017</v>
      </c>
      <c r="E461" s="127"/>
      <c r="F461" s="127"/>
      <c r="G461" s="19" t="s">
        <v>7</v>
      </c>
      <c r="H461" s="127" t="s">
        <v>959</v>
      </c>
      <c r="I461" s="127"/>
      <c r="J461" s="19" t="s">
        <v>960</v>
      </c>
      <c r="K461" s="127" t="s">
        <v>961</v>
      </c>
      <c r="L461" s="127"/>
      <c r="M461" s="2"/>
      <c r="N461" s="2"/>
    </row>
    <row r="462" spans="1:14" ht="30" customHeight="1">
      <c r="A462" s="2"/>
      <c r="B462" s="2"/>
      <c r="C462" s="20" t="s">
        <v>822</v>
      </c>
      <c r="D462" s="126" t="s">
        <v>970</v>
      </c>
      <c r="E462" s="126"/>
      <c r="F462" s="126"/>
      <c r="G462" s="126"/>
      <c r="H462" s="126"/>
      <c r="I462" s="126"/>
      <c r="J462" s="126"/>
      <c r="K462" s="126"/>
      <c r="L462" s="126"/>
      <c r="M462" s="2"/>
      <c r="N462" s="2"/>
    </row>
    <row r="463" spans="1:14" ht="45" customHeight="1">
      <c r="A463" s="2"/>
      <c r="B463" s="2"/>
      <c r="C463" s="18" t="s">
        <v>1018</v>
      </c>
      <c r="D463" s="127" t="s">
        <v>1019</v>
      </c>
      <c r="E463" s="127"/>
      <c r="F463" s="127"/>
      <c r="G463" s="19" t="s">
        <v>7</v>
      </c>
      <c r="H463" s="127" t="s">
        <v>959</v>
      </c>
      <c r="I463" s="127"/>
      <c r="J463" s="19" t="s">
        <v>960</v>
      </c>
      <c r="K463" s="127" t="s">
        <v>961</v>
      </c>
      <c r="L463" s="127"/>
      <c r="M463" s="2"/>
      <c r="N463" s="2"/>
    </row>
    <row r="464" spans="1:14" ht="30" customHeight="1">
      <c r="A464" s="2"/>
      <c r="B464" s="2"/>
      <c r="C464" s="20" t="s">
        <v>822</v>
      </c>
      <c r="D464" s="126" t="s">
        <v>970</v>
      </c>
      <c r="E464" s="126"/>
      <c r="F464" s="126"/>
      <c r="G464" s="126"/>
      <c r="H464" s="126"/>
      <c r="I464" s="126"/>
      <c r="J464" s="126"/>
      <c r="K464" s="126"/>
      <c r="L464" s="126"/>
      <c r="M464" s="2"/>
      <c r="N464" s="2"/>
    </row>
    <row r="465" spans="1:14" ht="45" customHeight="1">
      <c r="A465" s="2"/>
      <c r="B465" s="2"/>
      <c r="C465" s="18" t="s">
        <v>1020</v>
      </c>
      <c r="D465" s="127" t="s">
        <v>1021</v>
      </c>
      <c r="E465" s="127"/>
      <c r="F465" s="127"/>
      <c r="G465" s="19" t="s">
        <v>7</v>
      </c>
      <c r="H465" s="127" t="s">
        <v>959</v>
      </c>
      <c r="I465" s="127"/>
      <c r="J465" s="19" t="s">
        <v>960</v>
      </c>
      <c r="K465" s="127" t="s">
        <v>961</v>
      </c>
      <c r="L465" s="127"/>
      <c r="M465" s="2"/>
      <c r="N465" s="2"/>
    </row>
    <row r="466" spans="1:14" ht="30" customHeight="1">
      <c r="A466" s="2"/>
      <c r="B466" s="2"/>
      <c r="C466" s="20" t="s">
        <v>822</v>
      </c>
      <c r="D466" s="126" t="s">
        <v>970</v>
      </c>
      <c r="E466" s="126"/>
      <c r="F466" s="126"/>
      <c r="G466" s="126"/>
      <c r="H466" s="126"/>
      <c r="I466" s="126"/>
      <c r="J466" s="126"/>
      <c r="K466" s="126"/>
      <c r="L466" s="126"/>
      <c r="M466" s="2"/>
      <c r="N466" s="2"/>
    </row>
    <row r="467" spans="1:14" ht="45" customHeight="1">
      <c r="A467" s="2"/>
      <c r="B467" s="2"/>
      <c r="C467" s="18" t="s">
        <v>1022</v>
      </c>
      <c r="D467" s="127" t="s">
        <v>1023</v>
      </c>
      <c r="E467" s="127"/>
      <c r="F467" s="127"/>
      <c r="G467" s="19" t="s">
        <v>7</v>
      </c>
      <c r="H467" s="127" t="s">
        <v>959</v>
      </c>
      <c r="I467" s="127"/>
      <c r="J467" s="19" t="s">
        <v>960</v>
      </c>
      <c r="K467" s="127" t="s">
        <v>961</v>
      </c>
      <c r="L467" s="127"/>
      <c r="M467" s="2"/>
      <c r="N467" s="2"/>
    </row>
    <row r="468" spans="1:14" ht="30" customHeight="1">
      <c r="A468" s="2"/>
      <c r="B468" s="2"/>
      <c r="C468" s="20" t="s">
        <v>822</v>
      </c>
      <c r="D468" s="126" t="s">
        <v>970</v>
      </c>
      <c r="E468" s="126"/>
      <c r="F468" s="126"/>
      <c r="G468" s="126"/>
      <c r="H468" s="126"/>
      <c r="I468" s="126"/>
      <c r="J468" s="126"/>
      <c r="K468" s="126"/>
      <c r="L468" s="126"/>
      <c r="M468" s="2"/>
      <c r="N468" s="2"/>
    </row>
    <row r="469" spans="1:14" ht="45" customHeight="1">
      <c r="A469" s="2"/>
      <c r="B469" s="2"/>
      <c r="C469" s="18" t="s">
        <v>1024</v>
      </c>
      <c r="D469" s="127" t="s">
        <v>1025</v>
      </c>
      <c r="E469" s="127"/>
      <c r="F469" s="127"/>
      <c r="G469" s="19" t="s">
        <v>7</v>
      </c>
      <c r="H469" s="127" t="s">
        <v>989</v>
      </c>
      <c r="I469" s="127"/>
      <c r="J469" s="19" t="s">
        <v>960</v>
      </c>
      <c r="K469" s="127" t="s">
        <v>961</v>
      </c>
      <c r="L469" s="127"/>
      <c r="M469" s="2"/>
      <c r="N469" s="2"/>
    </row>
    <row r="470" spans="1:14" ht="30" customHeight="1">
      <c r="A470" s="2"/>
      <c r="B470" s="2"/>
      <c r="C470" s="20" t="s">
        <v>822</v>
      </c>
      <c r="D470" s="126" t="s">
        <v>970</v>
      </c>
      <c r="E470" s="126"/>
      <c r="F470" s="126"/>
      <c r="G470" s="126"/>
      <c r="H470" s="126"/>
      <c r="I470" s="126"/>
      <c r="J470" s="126"/>
      <c r="K470" s="126"/>
      <c r="L470" s="126"/>
      <c r="M470" s="2"/>
      <c r="N470" s="2"/>
    </row>
    <row r="471" spans="1:14" ht="45" customHeight="1">
      <c r="A471" s="2"/>
      <c r="B471" s="2"/>
      <c r="C471" s="18" t="s">
        <v>1026</v>
      </c>
      <c r="D471" s="127" t="s">
        <v>1027</v>
      </c>
      <c r="E471" s="127"/>
      <c r="F471" s="127"/>
      <c r="G471" s="19" t="s">
        <v>7</v>
      </c>
      <c r="H471" s="127" t="s">
        <v>989</v>
      </c>
      <c r="I471" s="127"/>
      <c r="J471" s="19" t="s">
        <v>960</v>
      </c>
      <c r="K471" s="127" t="s">
        <v>961</v>
      </c>
      <c r="L471" s="127"/>
      <c r="M471" s="2"/>
      <c r="N471" s="2"/>
    </row>
    <row r="472" spans="1:14" ht="30" customHeight="1">
      <c r="A472" s="2"/>
      <c r="B472" s="2"/>
      <c r="C472" s="20" t="s">
        <v>822</v>
      </c>
      <c r="D472" s="126" t="s">
        <v>970</v>
      </c>
      <c r="E472" s="126"/>
      <c r="F472" s="126"/>
      <c r="G472" s="126"/>
      <c r="H472" s="126"/>
      <c r="I472" s="126"/>
      <c r="J472" s="126"/>
      <c r="K472" s="126"/>
      <c r="L472" s="126"/>
      <c r="M472" s="2"/>
      <c r="N472" s="2"/>
    </row>
    <row r="473" spans="1:14" ht="45" customHeight="1">
      <c r="A473" s="2"/>
      <c r="B473" s="2"/>
      <c r="C473" s="18" t="s">
        <v>1028</v>
      </c>
      <c r="D473" s="127" t="s">
        <v>1029</v>
      </c>
      <c r="E473" s="127"/>
      <c r="F473" s="127"/>
      <c r="G473" s="19" t="s">
        <v>7</v>
      </c>
      <c r="H473" s="127" t="s">
        <v>989</v>
      </c>
      <c r="I473" s="127"/>
      <c r="J473" s="19" t="s">
        <v>960</v>
      </c>
      <c r="K473" s="127" t="s">
        <v>961</v>
      </c>
      <c r="L473" s="127"/>
      <c r="M473" s="2"/>
      <c r="N473" s="2"/>
    </row>
    <row r="474" spans="1:14" ht="30" customHeight="1">
      <c r="A474" s="2"/>
      <c r="B474" s="2"/>
      <c r="C474" s="20" t="s">
        <v>822</v>
      </c>
      <c r="D474" s="126" t="s">
        <v>970</v>
      </c>
      <c r="E474" s="126"/>
      <c r="F474" s="126"/>
      <c r="G474" s="126"/>
      <c r="H474" s="126"/>
      <c r="I474" s="126"/>
      <c r="J474" s="126"/>
      <c r="K474" s="126"/>
      <c r="L474" s="126"/>
      <c r="M474" s="2"/>
      <c r="N474" s="2"/>
    </row>
    <row r="475" spans="1:14" ht="45" customHeight="1">
      <c r="A475" s="2"/>
      <c r="B475" s="2"/>
      <c r="C475" s="18" t="s">
        <v>1030</v>
      </c>
      <c r="D475" s="127" t="s">
        <v>1031</v>
      </c>
      <c r="E475" s="127"/>
      <c r="F475" s="127"/>
      <c r="G475" s="19" t="s">
        <v>7</v>
      </c>
      <c r="H475" s="127" t="s">
        <v>959</v>
      </c>
      <c r="I475" s="127"/>
      <c r="J475" s="19" t="s">
        <v>960</v>
      </c>
      <c r="K475" s="127" t="s">
        <v>961</v>
      </c>
      <c r="L475" s="127"/>
      <c r="M475" s="2"/>
      <c r="N475" s="2"/>
    </row>
    <row r="476" spans="1:14" ht="30" customHeight="1">
      <c r="A476" s="2"/>
      <c r="B476" s="2"/>
      <c r="C476" s="20" t="s">
        <v>822</v>
      </c>
      <c r="D476" s="126" t="s">
        <v>970</v>
      </c>
      <c r="E476" s="126"/>
      <c r="F476" s="126"/>
      <c r="G476" s="126"/>
      <c r="H476" s="126"/>
      <c r="I476" s="126"/>
      <c r="J476" s="126"/>
      <c r="K476" s="126"/>
      <c r="L476" s="126"/>
      <c r="M476" s="2"/>
      <c r="N476" s="2"/>
    </row>
    <row r="477" spans="1:14" ht="45" customHeight="1">
      <c r="A477" s="2"/>
      <c r="B477" s="2"/>
      <c r="C477" s="18" t="s">
        <v>1032</v>
      </c>
      <c r="D477" s="127" t="s">
        <v>1033</v>
      </c>
      <c r="E477" s="127"/>
      <c r="F477" s="127"/>
      <c r="G477" s="19" t="s">
        <v>7</v>
      </c>
      <c r="H477" s="127" t="s">
        <v>959</v>
      </c>
      <c r="I477" s="127"/>
      <c r="J477" s="19" t="s">
        <v>960</v>
      </c>
      <c r="K477" s="127" t="s">
        <v>961</v>
      </c>
      <c r="L477" s="127"/>
      <c r="M477" s="2"/>
      <c r="N477" s="2"/>
    </row>
    <row r="478" spans="1:14" ht="30" customHeight="1">
      <c r="A478" s="2"/>
      <c r="B478" s="2"/>
      <c r="C478" s="20" t="s">
        <v>822</v>
      </c>
      <c r="D478" s="126" t="s">
        <v>970</v>
      </c>
      <c r="E478" s="126"/>
      <c r="F478" s="126"/>
      <c r="G478" s="126"/>
      <c r="H478" s="126"/>
      <c r="I478" s="126"/>
      <c r="J478" s="126"/>
      <c r="K478" s="126"/>
      <c r="L478" s="126"/>
      <c r="M478" s="2"/>
      <c r="N478" s="2"/>
    </row>
    <row r="479" spans="1:14" ht="45" customHeight="1">
      <c r="A479" s="2"/>
      <c r="B479" s="2"/>
      <c r="C479" s="18" t="s">
        <v>1034</v>
      </c>
      <c r="D479" s="127" t="s">
        <v>1035</v>
      </c>
      <c r="E479" s="127"/>
      <c r="F479" s="127"/>
      <c r="G479" s="19" t="s">
        <v>7</v>
      </c>
      <c r="H479" s="127" t="s">
        <v>959</v>
      </c>
      <c r="I479" s="127"/>
      <c r="J479" s="19" t="s">
        <v>960</v>
      </c>
      <c r="K479" s="127" t="s">
        <v>961</v>
      </c>
      <c r="L479" s="127"/>
      <c r="M479" s="2"/>
      <c r="N479" s="2"/>
    </row>
    <row r="480" spans="1:14" ht="30" customHeight="1">
      <c r="A480" s="2"/>
      <c r="B480" s="2"/>
      <c r="C480" s="20" t="s">
        <v>822</v>
      </c>
      <c r="D480" s="126" t="s">
        <v>970</v>
      </c>
      <c r="E480" s="126"/>
      <c r="F480" s="126"/>
      <c r="G480" s="126"/>
      <c r="H480" s="126"/>
      <c r="I480" s="126"/>
      <c r="J480" s="126"/>
      <c r="K480" s="126"/>
      <c r="L480" s="126"/>
      <c r="M480" s="2"/>
      <c r="N480" s="2"/>
    </row>
    <row r="481" spans="1:14" ht="45" customHeight="1">
      <c r="A481" s="2"/>
      <c r="B481" s="2"/>
      <c r="C481" s="18" t="s">
        <v>1036</v>
      </c>
      <c r="D481" s="127" t="s">
        <v>1037</v>
      </c>
      <c r="E481" s="127"/>
      <c r="F481" s="127"/>
      <c r="G481" s="19" t="s">
        <v>7</v>
      </c>
      <c r="H481" s="127" t="s">
        <v>959</v>
      </c>
      <c r="I481" s="127"/>
      <c r="J481" s="19" t="s">
        <v>960</v>
      </c>
      <c r="K481" s="127" t="s">
        <v>961</v>
      </c>
      <c r="L481" s="127"/>
      <c r="M481" s="2"/>
      <c r="N481" s="2"/>
    </row>
    <row r="482" spans="1:14" ht="30" customHeight="1">
      <c r="A482" s="2"/>
      <c r="B482" s="2"/>
      <c r="C482" s="20" t="s">
        <v>822</v>
      </c>
      <c r="D482" s="126" t="s">
        <v>970</v>
      </c>
      <c r="E482" s="126"/>
      <c r="F482" s="126"/>
      <c r="G482" s="126"/>
      <c r="H482" s="126"/>
      <c r="I482" s="126"/>
      <c r="J482" s="126"/>
      <c r="K482" s="126"/>
      <c r="L482" s="126"/>
      <c r="M482" s="2"/>
      <c r="N482" s="2"/>
    </row>
    <row r="483" spans="1:14" ht="45" customHeight="1">
      <c r="A483" s="2"/>
      <c r="B483" s="2"/>
      <c r="C483" s="18" t="s">
        <v>98</v>
      </c>
      <c r="D483" s="127" t="s">
        <v>1038</v>
      </c>
      <c r="E483" s="127"/>
      <c r="F483" s="127"/>
      <c r="G483" s="19" t="s">
        <v>7</v>
      </c>
      <c r="H483" s="127" t="s">
        <v>959</v>
      </c>
      <c r="I483" s="127"/>
      <c r="J483" s="19" t="s">
        <v>960</v>
      </c>
      <c r="K483" s="127" t="s">
        <v>961</v>
      </c>
      <c r="L483" s="127"/>
      <c r="M483" s="2"/>
      <c r="N483" s="2"/>
    </row>
    <row r="484" spans="1:14" ht="30" customHeight="1">
      <c r="A484" s="2"/>
      <c r="B484" s="2"/>
      <c r="C484" s="20" t="s">
        <v>822</v>
      </c>
      <c r="D484" s="126" t="s">
        <v>970</v>
      </c>
      <c r="E484" s="126"/>
      <c r="F484" s="126"/>
      <c r="G484" s="126"/>
      <c r="H484" s="126"/>
      <c r="I484" s="126"/>
      <c r="J484" s="126"/>
      <c r="K484" s="126"/>
      <c r="L484" s="126"/>
      <c r="M484" s="2"/>
      <c r="N484" s="2"/>
    </row>
    <row r="485" spans="1:14" ht="45" customHeight="1">
      <c r="A485" s="2"/>
      <c r="B485" s="2"/>
      <c r="C485" s="18" t="s">
        <v>1039</v>
      </c>
      <c r="D485" s="127" t="s">
        <v>1040</v>
      </c>
      <c r="E485" s="127"/>
      <c r="F485" s="127"/>
      <c r="G485" s="19" t="s">
        <v>7</v>
      </c>
      <c r="H485" s="127" t="s">
        <v>989</v>
      </c>
      <c r="I485" s="127"/>
      <c r="J485" s="19" t="s">
        <v>960</v>
      </c>
      <c r="K485" s="127" t="s">
        <v>961</v>
      </c>
      <c r="L485" s="127"/>
      <c r="M485" s="2"/>
      <c r="N485" s="2"/>
    </row>
    <row r="486" spans="1:14" ht="30" customHeight="1">
      <c r="A486" s="2"/>
      <c r="B486" s="2"/>
      <c r="C486" s="20" t="s">
        <v>822</v>
      </c>
      <c r="D486" s="126" t="s">
        <v>970</v>
      </c>
      <c r="E486" s="126"/>
      <c r="F486" s="126"/>
      <c r="G486" s="126"/>
      <c r="H486" s="126"/>
      <c r="I486" s="126"/>
      <c r="J486" s="126"/>
      <c r="K486" s="126"/>
      <c r="L486" s="126"/>
      <c r="M486" s="2"/>
      <c r="N486" s="2"/>
    </row>
    <row r="487" spans="1:14" ht="45" customHeight="1">
      <c r="A487" s="2"/>
      <c r="B487" s="2"/>
      <c r="C487" s="18" t="s">
        <v>1041</v>
      </c>
      <c r="D487" s="127" t="s">
        <v>1042</v>
      </c>
      <c r="E487" s="127"/>
      <c r="F487" s="127"/>
      <c r="G487" s="19" t="s">
        <v>7</v>
      </c>
      <c r="H487" s="127" t="s">
        <v>959</v>
      </c>
      <c r="I487" s="127"/>
      <c r="J487" s="19" t="s">
        <v>960</v>
      </c>
      <c r="K487" s="127" t="s">
        <v>961</v>
      </c>
      <c r="L487" s="127"/>
      <c r="M487" s="2"/>
      <c r="N487" s="2"/>
    </row>
    <row r="488" spans="1:14" ht="30" customHeight="1">
      <c r="A488" s="2"/>
      <c r="B488" s="2"/>
      <c r="C488" s="20" t="s">
        <v>822</v>
      </c>
      <c r="D488" s="126" t="s">
        <v>970</v>
      </c>
      <c r="E488" s="126"/>
      <c r="F488" s="126"/>
      <c r="G488" s="126"/>
      <c r="H488" s="126"/>
      <c r="I488" s="126"/>
      <c r="J488" s="126"/>
      <c r="K488" s="126"/>
      <c r="L488" s="126"/>
      <c r="M488" s="2"/>
      <c r="N488" s="2"/>
    </row>
    <row r="489" spans="1:14" ht="45" customHeight="1">
      <c r="A489" s="2"/>
      <c r="B489" s="2"/>
      <c r="C489" s="18" t="s">
        <v>1043</v>
      </c>
      <c r="D489" s="127" t="s">
        <v>1044</v>
      </c>
      <c r="E489" s="127"/>
      <c r="F489" s="127"/>
      <c r="G489" s="19" t="s">
        <v>7</v>
      </c>
      <c r="H489" s="127" t="s">
        <v>959</v>
      </c>
      <c r="I489" s="127"/>
      <c r="J489" s="19" t="s">
        <v>960</v>
      </c>
      <c r="K489" s="127" t="s">
        <v>961</v>
      </c>
      <c r="L489" s="127"/>
      <c r="M489" s="2"/>
      <c r="N489" s="2"/>
    </row>
    <row r="490" spans="1:14" ht="30" customHeight="1">
      <c r="A490" s="2"/>
      <c r="B490" s="2"/>
      <c r="C490" s="20" t="s">
        <v>822</v>
      </c>
      <c r="D490" s="126" t="s">
        <v>970</v>
      </c>
      <c r="E490" s="126"/>
      <c r="F490" s="126"/>
      <c r="G490" s="126"/>
      <c r="H490" s="126"/>
      <c r="I490" s="126"/>
      <c r="J490" s="126"/>
      <c r="K490" s="126"/>
      <c r="L490" s="126"/>
      <c r="M490" s="2"/>
      <c r="N490" s="2"/>
    </row>
    <row r="491" spans="1:14" ht="45" customHeight="1">
      <c r="A491" s="2"/>
      <c r="B491" s="2"/>
      <c r="C491" s="18" t="s">
        <v>1045</v>
      </c>
      <c r="D491" s="127" t="s">
        <v>1046</v>
      </c>
      <c r="E491" s="127"/>
      <c r="F491" s="127"/>
      <c r="G491" s="19" t="s">
        <v>7</v>
      </c>
      <c r="H491" s="127" t="s">
        <v>959</v>
      </c>
      <c r="I491" s="127"/>
      <c r="J491" s="19" t="s">
        <v>960</v>
      </c>
      <c r="K491" s="127" t="s">
        <v>961</v>
      </c>
      <c r="L491" s="127"/>
      <c r="M491" s="2"/>
      <c r="N491" s="2"/>
    </row>
    <row r="492" spans="1:14" ht="30" customHeight="1">
      <c r="A492" s="2"/>
      <c r="B492" s="2"/>
      <c r="C492" s="20" t="s">
        <v>822</v>
      </c>
      <c r="D492" s="126" t="s">
        <v>970</v>
      </c>
      <c r="E492" s="126"/>
      <c r="F492" s="126"/>
      <c r="G492" s="126"/>
      <c r="H492" s="126"/>
      <c r="I492" s="126"/>
      <c r="J492" s="126"/>
      <c r="K492" s="126"/>
      <c r="L492" s="126"/>
      <c r="M492" s="2"/>
      <c r="N492" s="2"/>
    </row>
    <row r="493" spans="1:14" ht="45" customHeight="1">
      <c r="A493" s="2"/>
      <c r="B493" s="2"/>
      <c r="C493" s="18" t="s">
        <v>1047</v>
      </c>
      <c r="D493" s="127" t="s">
        <v>1048</v>
      </c>
      <c r="E493" s="127"/>
      <c r="F493" s="127"/>
      <c r="G493" s="19" t="s">
        <v>7</v>
      </c>
      <c r="H493" s="127" t="s">
        <v>959</v>
      </c>
      <c r="I493" s="127"/>
      <c r="J493" s="19" t="s">
        <v>960</v>
      </c>
      <c r="K493" s="127" t="s">
        <v>961</v>
      </c>
      <c r="L493" s="127"/>
      <c r="M493" s="2"/>
      <c r="N493" s="2"/>
    </row>
    <row r="494" spans="1:14" ht="30" customHeight="1">
      <c r="A494" s="2"/>
      <c r="B494" s="2"/>
      <c r="C494" s="20" t="s">
        <v>822</v>
      </c>
      <c r="D494" s="126" t="s">
        <v>970</v>
      </c>
      <c r="E494" s="126"/>
      <c r="F494" s="126"/>
      <c r="G494" s="126"/>
      <c r="H494" s="126"/>
      <c r="I494" s="126"/>
      <c r="J494" s="126"/>
      <c r="K494" s="126"/>
      <c r="L494" s="126"/>
      <c r="M494" s="2"/>
      <c r="N494" s="2"/>
    </row>
    <row r="495" spans="1:14" ht="45" customHeight="1">
      <c r="A495" s="2"/>
      <c r="B495" s="2"/>
      <c r="C495" s="18" t="s">
        <v>1049</v>
      </c>
      <c r="D495" s="127" t="s">
        <v>1050</v>
      </c>
      <c r="E495" s="127"/>
      <c r="F495" s="127"/>
      <c r="G495" s="19" t="s">
        <v>7</v>
      </c>
      <c r="H495" s="127" t="s">
        <v>959</v>
      </c>
      <c r="I495" s="127"/>
      <c r="J495" s="19" t="s">
        <v>960</v>
      </c>
      <c r="K495" s="127" t="s">
        <v>961</v>
      </c>
      <c r="L495" s="127"/>
      <c r="M495" s="2"/>
      <c r="N495" s="2"/>
    </row>
    <row r="496" spans="1:14" ht="30" customHeight="1">
      <c r="A496" s="2"/>
      <c r="B496" s="2"/>
      <c r="C496" s="20" t="s">
        <v>822</v>
      </c>
      <c r="D496" s="126" t="s">
        <v>970</v>
      </c>
      <c r="E496" s="126"/>
      <c r="F496" s="126"/>
      <c r="G496" s="126"/>
      <c r="H496" s="126"/>
      <c r="I496" s="126"/>
      <c r="J496" s="126"/>
      <c r="K496" s="126"/>
      <c r="L496" s="126"/>
      <c r="M496" s="2"/>
      <c r="N496" s="2"/>
    </row>
    <row r="497" spans="1:14" ht="45" customHeight="1">
      <c r="A497" s="2"/>
      <c r="B497" s="2"/>
      <c r="C497" s="18" t="s">
        <v>1051</v>
      </c>
      <c r="D497" s="127" t="s">
        <v>1052</v>
      </c>
      <c r="E497" s="127"/>
      <c r="F497" s="127"/>
      <c r="G497" s="19" t="s">
        <v>7</v>
      </c>
      <c r="H497" s="127" t="s">
        <v>959</v>
      </c>
      <c r="I497" s="127"/>
      <c r="J497" s="19" t="s">
        <v>960</v>
      </c>
      <c r="K497" s="127" t="s">
        <v>961</v>
      </c>
      <c r="L497" s="127"/>
      <c r="M497" s="2"/>
      <c r="N497" s="2"/>
    </row>
    <row r="498" spans="1:14" ht="30" customHeight="1">
      <c r="A498" s="2"/>
      <c r="B498" s="2"/>
      <c r="C498" s="20" t="s">
        <v>822</v>
      </c>
      <c r="D498" s="126" t="s">
        <v>970</v>
      </c>
      <c r="E498" s="126"/>
      <c r="F498" s="126"/>
      <c r="G498" s="126"/>
      <c r="H498" s="126"/>
      <c r="I498" s="126"/>
      <c r="J498" s="126"/>
      <c r="K498" s="126"/>
      <c r="L498" s="126"/>
      <c r="M498" s="2"/>
      <c r="N498" s="2"/>
    </row>
    <row r="499" spans="1:14" ht="45" customHeight="1">
      <c r="A499" s="2"/>
      <c r="B499" s="2"/>
      <c r="C499" s="18" t="s">
        <v>1053</v>
      </c>
      <c r="D499" s="127" t="s">
        <v>1054</v>
      </c>
      <c r="E499" s="127"/>
      <c r="F499" s="127"/>
      <c r="G499" s="19" t="s">
        <v>7</v>
      </c>
      <c r="H499" s="127" t="s">
        <v>959</v>
      </c>
      <c r="I499" s="127"/>
      <c r="J499" s="19" t="s">
        <v>960</v>
      </c>
      <c r="K499" s="127" t="s">
        <v>961</v>
      </c>
      <c r="L499" s="127"/>
      <c r="M499" s="2"/>
      <c r="N499" s="2"/>
    </row>
    <row r="500" spans="1:14" ht="30" customHeight="1">
      <c r="A500" s="2"/>
      <c r="B500" s="2"/>
      <c r="C500" s="20" t="s">
        <v>822</v>
      </c>
      <c r="D500" s="126" t="s">
        <v>970</v>
      </c>
      <c r="E500" s="126"/>
      <c r="F500" s="126"/>
      <c r="G500" s="126"/>
      <c r="H500" s="126"/>
      <c r="I500" s="126"/>
      <c r="J500" s="126"/>
      <c r="K500" s="126"/>
      <c r="L500" s="126"/>
      <c r="M500" s="2"/>
      <c r="N500" s="2"/>
    </row>
    <row r="501" spans="1:14" ht="45" customHeight="1">
      <c r="A501" s="2"/>
      <c r="B501" s="2"/>
      <c r="C501" s="18" t="s">
        <v>1055</v>
      </c>
      <c r="D501" s="127" t="s">
        <v>1056</v>
      </c>
      <c r="E501" s="127"/>
      <c r="F501" s="127"/>
      <c r="G501" s="19" t="s">
        <v>7</v>
      </c>
      <c r="H501" s="127" t="s">
        <v>989</v>
      </c>
      <c r="I501" s="127"/>
      <c r="J501" s="19" t="s">
        <v>960</v>
      </c>
      <c r="K501" s="127" t="s">
        <v>961</v>
      </c>
      <c r="L501" s="127"/>
      <c r="M501" s="2"/>
      <c r="N501" s="2"/>
    </row>
    <row r="502" spans="1:14" ht="30" customHeight="1">
      <c r="A502" s="2"/>
      <c r="B502" s="2"/>
      <c r="C502" s="20" t="s">
        <v>822</v>
      </c>
      <c r="D502" s="126" t="s">
        <v>970</v>
      </c>
      <c r="E502" s="126"/>
      <c r="F502" s="126"/>
      <c r="G502" s="126"/>
      <c r="H502" s="126"/>
      <c r="I502" s="126"/>
      <c r="J502" s="126"/>
      <c r="K502" s="126"/>
      <c r="L502" s="126"/>
      <c r="M502" s="2"/>
      <c r="N502" s="2"/>
    </row>
    <row r="503" spans="1:14" ht="45" customHeight="1">
      <c r="A503" s="2"/>
      <c r="B503" s="2"/>
      <c r="C503" s="18" t="s">
        <v>1057</v>
      </c>
      <c r="D503" s="127" t="s">
        <v>1058</v>
      </c>
      <c r="E503" s="127"/>
      <c r="F503" s="127"/>
      <c r="G503" s="19" t="s">
        <v>7</v>
      </c>
      <c r="H503" s="127" t="s">
        <v>959</v>
      </c>
      <c r="I503" s="127"/>
      <c r="J503" s="19" t="s">
        <v>960</v>
      </c>
      <c r="K503" s="127" t="s">
        <v>961</v>
      </c>
      <c r="L503" s="127"/>
      <c r="M503" s="2"/>
      <c r="N503" s="2"/>
    </row>
    <row r="504" spans="1:14" ht="30" customHeight="1">
      <c r="A504" s="2"/>
      <c r="B504" s="2"/>
      <c r="C504" s="20" t="s">
        <v>822</v>
      </c>
      <c r="D504" s="126" t="s">
        <v>970</v>
      </c>
      <c r="E504" s="126"/>
      <c r="F504" s="126"/>
      <c r="G504" s="126"/>
      <c r="H504" s="126"/>
      <c r="I504" s="126"/>
      <c r="J504" s="126"/>
      <c r="K504" s="126"/>
      <c r="L504" s="126"/>
      <c r="M504" s="2"/>
      <c r="N504" s="2"/>
    </row>
    <row r="505" spans="1:14" ht="45" customHeight="1">
      <c r="A505" s="2"/>
      <c r="B505" s="2"/>
      <c r="C505" s="18" t="s">
        <v>1059</v>
      </c>
      <c r="D505" s="127" t="s">
        <v>1060</v>
      </c>
      <c r="E505" s="127"/>
      <c r="F505" s="127"/>
      <c r="G505" s="19" t="s">
        <v>7</v>
      </c>
      <c r="H505" s="127" t="s">
        <v>959</v>
      </c>
      <c r="I505" s="127"/>
      <c r="J505" s="19" t="s">
        <v>960</v>
      </c>
      <c r="K505" s="127" t="s">
        <v>961</v>
      </c>
      <c r="L505" s="127"/>
      <c r="M505" s="2"/>
      <c r="N505" s="2"/>
    </row>
    <row r="506" spans="1:14" ht="30" customHeight="1">
      <c r="A506" s="2"/>
      <c r="B506" s="2"/>
      <c r="C506" s="20" t="s">
        <v>822</v>
      </c>
      <c r="D506" s="126" t="s">
        <v>970</v>
      </c>
      <c r="E506" s="126"/>
      <c r="F506" s="126"/>
      <c r="G506" s="126"/>
      <c r="H506" s="126"/>
      <c r="I506" s="126"/>
      <c r="J506" s="126"/>
      <c r="K506" s="126"/>
      <c r="L506" s="126"/>
      <c r="M506" s="2"/>
      <c r="N506" s="2"/>
    </row>
    <row r="507" spans="1:14" ht="45" customHeight="1">
      <c r="A507" s="2"/>
      <c r="B507" s="2"/>
      <c r="C507" s="18" t="s">
        <v>94</v>
      </c>
      <c r="D507" s="127" t="s">
        <v>1061</v>
      </c>
      <c r="E507" s="127"/>
      <c r="F507" s="127"/>
      <c r="G507" s="19" t="s">
        <v>7</v>
      </c>
      <c r="H507" s="127" t="s">
        <v>959</v>
      </c>
      <c r="I507" s="127"/>
      <c r="J507" s="19" t="s">
        <v>960</v>
      </c>
      <c r="K507" s="127" t="s">
        <v>961</v>
      </c>
      <c r="L507" s="127"/>
      <c r="M507" s="2"/>
      <c r="N507" s="2"/>
    </row>
    <row r="508" spans="1:14" ht="30" customHeight="1">
      <c r="A508" s="2"/>
      <c r="B508" s="2"/>
      <c r="C508" s="20" t="s">
        <v>822</v>
      </c>
      <c r="D508" s="126" t="s">
        <v>1062</v>
      </c>
      <c r="E508" s="126"/>
      <c r="F508" s="126"/>
      <c r="G508" s="126"/>
      <c r="H508" s="126"/>
      <c r="I508" s="126"/>
      <c r="J508" s="126"/>
      <c r="K508" s="126"/>
      <c r="L508" s="126"/>
      <c r="M508" s="2"/>
      <c r="N508" s="2"/>
    </row>
    <row r="509" spans="1:14" ht="45" customHeight="1">
      <c r="A509" s="2"/>
      <c r="B509" s="2"/>
      <c r="C509" s="18" t="s">
        <v>1063</v>
      </c>
      <c r="D509" s="127" t="s">
        <v>1064</v>
      </c>
      <c r="E509" s="127"/>
      <c r="F509" s="127"/>
      <c r="G509" s="19" t="s">
        <v>7</v>
      </c>
      <c r="H509" s="127" t="s">
        <v>959</v>
      </c>
      <c r="I509" s="127"/>
      <c r="J509" s="19" t="s">
        <v>960</v>
      </c>
      <c r="K509" s="127" t="s">
        <v>961</v>
      </c>
      <c r="L509" s="127"/>
      <c r="M509" s="2"/>
      <c r="N509" s="2"/>
    </row>
    <row r="510" spans="1:14" ht="30" customHeight="1">
      <c r="A510" s="2"/>
      <c r="B510" s="2"/>
      <c r="C510" s="20" t="s">
        <v>822</v>
      </c>
      <c r="D510" s="126" t="s">
        <v>970</v>
      </c>
      <c r="E510" s="126"/>
      <c r="F510" s="126"/>
      <c r="G510" s="126"/>
      <c r="H510" s="126"/>
      <c r="I510" s="126"/>
      <c r="J510" s="126"/>
      <c r="K510" s="126"/>
      <c r="L510" s="126"/>
      <c r="M510" s="2"/>
      <c r="N510" s="2"/>
    </row>
    <row r="511" spans="1:14" ht="45" customHeight="1">
      <c r="A511" s="2"/>
      <c r="B511" s="2"/>
      <c r="C511" s="18" t="s">
        <v>1065</v>
      </c>
      <c r="D511" s="127" t="s">
        <v>1066</v>
      </c>
      <c r="E511" s="127"/>
      <c r="F511" s="127"/>
      <c r="G511" s="19" t="s">
        <v>7</v>
      </c>
      <c r="H511" s="127" t="s">
        <v>959</v>
      </c>
      <c r="I511" s="127"/>
      <c r="J511" s="19" t="s">
        <v>960</v>
      </c>
      <c r="K511" s="127" t="s">
        <v>961</v>
      </c>
      <c r="L511" s="127"/>
      <c r="M511" s="2"/>
      <c r="N511" s="2"/>
    </row>
    <row r="512" spans="1:14" ht="30" customHeight="1">
      <c r="A512" s="2"/>
      <c r="B512" s="2"/>
      <c r="C512" s="20" t="s">
        <v>822</v>
      </c>
      <c r="D512" s="126" t="s">
        <v>970</v>
      </c>
      <c r="E512" s="126"/>
      <c r="F512" s="126"/>
      <c r="G512" s="126"/>
      <c r="H512" s="126"/>
      <c r="I512" s="126"/>
      <c r="J512" s="126"/>
      <c r="K512" s="126"/>
      <c r="L512" s="126"/>
      <c r="M512" s="2"/>
      <c r="N512" s="2"/>
    </row>
    <row r="513" spans="1:14" ht="45" customHeight="1">
      <c r="A513" s="2"/>
      <c r="B513" s="2"/>
      <c r="C513" s="18" t="s">
        <v>1067</v>
      </c>
      <c r="D513" s="127" t="s">
        <v>1068</v>
      </c>
      <c r="E513" s="127"/>
      <c r="F513" s="127"/>
      <c r="G513" s="19" t="s">
        <v>7</v>
      </c>
      <c r="H513" s="127" t="s">
        <v>959</v>
      </c>
      <c r="I513" s="127"/>
      <c r="J513" s="19" t="s">
        <v>960</v>
      </c>
      <c r="K513" s="127" t="s">
        <v>961</v>
      </c>
      <c r="L513" s="127"/>
      <c r="M513" s="2"/>
      <c r="N513" s="2"/>
    </row>
    <row r="514" spans="1:14" ht="30" customHeight="1">
      <c r="A514" s="2"/>
      <c r="B514" s="2"/>
      <c r="C514" s="20" t="s">
        <v>822</v>
      </c>
      <c r="D514" s="126" t="s">
        <v>970</v>
      </c>
      <c r="E514" s="126"/>
      <c r="F514" s="126"/>
      <c r="G514" s="126"/>
      <c r="H514" s="126"/>
      <c r="I514" s="126"/>
      <c r="J514" s="126"/>
      <c r="K514" s="126"/>
      <c r="L514" s="126"/>
      <c r="M514" s="2"/>
      <c r="N514" s="2"/>
    </row>
    <row r="515" spans="1:14" ht="45" customHeight="1">
      <c r="A515" s="2"/>
      <c r="B515" s="2"/>
      <c r="C515" s="18" t="s">
        <v>85</v>
      </c>
      <c r="D515" s="127" t="s">
        <v>1069</v>
      </c>
      <c r="E515" s="127"/>
      <c r="F515" s="127"/>
      <c r="G515" s="19" t="s">
        <v>7</v>
      </c>
      <c r="H515" s="127" t="s">
        <v>959</v>
      </c>
      <c r="I515" s="127"/>
      <c r="J515" s="19" t="s">
        <v>960</v>
      </c>
      <c r="K515" s="127" t="s">
        <v>961</v>
      </c>
      <c r="L515" s="127"/>
      <c r="M515" s="2"/>
      <c r="N515" s="2"/>
    </row>
    <row r="516" spans="1:14" ht="30" customHeight="1">
      <c r="A516" s="2"/>
      <c r="B516" s="2"/>
      <c r="C516" s="20" t="s">
        <v>822</v>
      </c>
      <c r="D516" s="126" t="s">
        <v>970</v>
      </c>
      <c r="E516" s="126"/>
      <c r="F516" s="126"/>
      <c r="G516" s="126"/>
      <c r="H516" s="126"/>
      <c r="I516" s="126"/>
      <c r="J516" s="126"/>
      <c r="K516" s="126"/>
      <c r="L516" s="126"/>
      <c r="M516" s="2"/>
      <c r="N516" s="2"/>
    </row>
    <row r="517" spans="1:14" ht="45" customHeight="1">
      <c r="A517" s="2"/>
      <c r="B517" s="2"/>
      <c r="C517" s="18" t="s">
        <v>1070</v>
      </c>
      <c r="D517" s="127" t="s">
        <v>1071</v>
      </c>
      <c r="E517" s="127"/>
      <c r="F517" s="127"/>
      <c r="G517" s="19" t="s">
        <v>7</v>
      </c>
      <c r="H517" s="127" t="s">
        <v>959</v>
      </c>
      <c r="I517" s="127"/>
      <c r="J517" s="19" t="s">
        <v>960</v>
      </c>
      <c r="K517" s="127" t="s">
        <v>961</v>
      </c>
      <c r="L517" s="127"/>
      <c r="M517" s="2"/>
      <c r="N517" s="2"/>
    </row>
    <row r="518" spans="1:14" ht="30" customHeight="1">
      <c r="A518" s="2"/>
      <c r="B518" s="2"/>
      <c r="C518" s="20" t="s">
        <v>822</v>
      </c>
      <c r="D518" s="126" t="s">
        <v>970</v>
      </c>
      <c r="E518" s="126"/>
      <c r="F518" s="126"/>
      <c r="G518" s="126"/>
      <c r="H518" s="126"/>
      <c r="I518" s="126"/>
      <c r="J518" s="126"/>
      <c r="K518" s="126"/>
      <c r="L518" s="126"/>
      <c r="M518" s="2"/>
      <c r="N518" s="2"/>
    </row>
    <row r="519" spans="1:14" ht="45" customHeight="1">
      <c r="A519" s="2"/>
      <c r="B519" s="2"/>
      <c r="C519" s="18" t="s">
        <v>1072</v>
      </c>
      <c r="D519" s="127" t="s">
        <v>1073</v>
      </c>
      <c r="E519" s="127"/>
      <c r="F519" s="127"/>
      <c r="G519" s="19" t="s">
        <v>7</v>
      </c>
      <c r="H519" s="127" t="s">
        <v>959</v>
      </c>
      <c r="I519" s="127"/>
      <c r="J519" s="19" t="s">
        <v>960</v>
      </c>
      <c r="K519" s="127" t="s">
        <v>961</v>
      </c>
      <c r="L519" s="127"/>
      <c r="M519" s="2"/>
      <c r="N519" s="2"/>
    </row>
    <row r="520" spans="1:14" ht="30" customHeight="1">
      <c r="A520" s="2"/>
      <c r="B520" s="2"/>
      <c r="C520" s="20" t="s">
        <v>822</v>
      </c>
      <c r="D520" s="126" t="s">
        <v>970</v>
      </c>
      <c r="E520" s="126"/>
      <c r="F520" s="126"/>
      <c r="G520" s="126"/>
      <c r="H520" s="126"/>
      <c r="I520" s="126"/>
      <c r="J520" s="126"/>
      <c r="K520" s="126"/>
      <c r="L520" s="126"/>
      <c r="M520" s="2"/>
      <c r="N520" s="2"/>
    </row>
    <row r="521" spans="1:14" ht="45" customHeight="1">
      <c r="A521" s="2"/>
      <c r="B521" s="2"/>
      <c r="C521" s="18" t="s">
        <v>1074</v>
      </c>
      <c r="D521" s="127" t="s">
        <v>1075</v>
      </c>
      <c r="E521" s="127"/>
      <c r="F521" s="127"/>
      <c r="G521" s="19" t="s">
        <v>7</v>
      </c>
      <c r="H521" s="127" t="s">
        <v>959</v>
      </c>
      <c r="I521" s="127"/>
      <c r="J521" s="19" t="s">
        <v>960</v>
      </c>
      <c r="K521" s="127" t="s">
        <v>961</v>
      </c>
      <c r="L521" s="127"/>
      <c r="M521" s="2"/>
      <c r="N521" s="2"/>
    </row>
    <row r="522" spans="1:14" ht="30" customHeight="1">
      <c r="A522" s="2"/>
      <c r="B522" s="2"/>
      <c r="C522" s="20" t="s">
        <v>822</v>
      </c>
      <c r="D522" s="126" t="s">
        <v>970</v>
      </c>
      <c r="E522" s="126"/>
      <c r="F522" s="126"/>
      <c r="G522" s="126"/>
      <c r="H522" s="126"/>
      <c r="I522" s="126"/>
      <c r="J522" s="126"/>
      <c r="K522" s="126"/>
      <c r="L522" s="126"/>
      <c r="M522" s="2"/>
      <c r="N522" s="2"/>
    </row>
    <row r="523" spans="1:14" ht="45" customHeight="1">
      <c r="A523" s="2"/>
      <c r="B523" s="2"/>
      <c r="C523" s="18" t="s">
        <v>1076</v>
      </c>
      <c r="D523" s="127" t="s">
        <v>1077</v>
      </c>
      <c r="E523" s="127"/>
      <c r="F523" s="127"/>
      <c r="G523" s="19" t="s">
        <v>7</v>
      </c>
      <c r="H523" s="127" t="s">
        <v>959</v>
      </c>
      <c r="I523" s="127"/>
      <c r="J523" s="19" t="s">
        <v>960</v>
      </c>
      <c r="K523" s="127" t="s">
        <v>961</v>
      </c>
      <c r="L523" s="127"/>
      <c r="M523" s="2"/>
      <c r="N523" s="2"/>
    </row>
    <row r="524" spans="1:14" ht="30" customHeight="1">
      <c r="A524" s="2"/>
      <c r="B524" s="2"/>
      <c r="C524" s="20" t="s">
        <v>822</v>
      </c>
      <c r="D524" s="126" t="s">
        <v>970</v>
      </c>
      <c r="E524" s="126"/>
      <c r="F524" s="126"/>
      <c r="G524" s="126"/>
      <c r="H524" s="126"/>
      <c r="I524" s="126"/>
      <c r="J524" s="126"/>
      <c r="K524" s="126"/>
      <c r="L524" s="126"/>
      <c r="M524" s="2"/>
      <c r="N524" s="2"/>
    </row>
    <row r="525" spans="1:14" ht="45" customHeight="1">
      <c r="A525" s="2"/>
      <c r="B525" s="2"/>
      <c r="C525" s="18" t="s">
        <v>1078</v>
      </c>
      <c r="D525" s="127" t="s">
        <v>1079</v>
      </c>
      <c r="E525" s="127"/>
      <c r="F525" s="127"/>
      <c r="G525" s="19" t="s">
        <v>7</v>
      </c>
      <c r="H525" s="127" t="s">
        <v>959</v>
      </c>
      <c r="I525" s="127"/>
      <c r="J525" s="19" t="s">
        <v>960</v>
      </c>
      <c r="K525" s="127" t="s">
        <v>961</v>
      </c>
      <c r="L525" s="127"/>
      <c r="M525" s="2"/>
      <c r="N525" s="2"/>
    </row>
    <row r="526" spans="1:14" ht="30" customHeight="1">
      <c r="A526" s="2"/>
      <c r="B526" s="2"/>
      <c r="C526" s="20" t="s">
        <v>822</v>
      </c>
      <c r="D526" s="126" t="s">
        <v>970</v>
      </c>
      <c r="E526" s="126"/>
      <c r="F526" s="126"/>
      <c r="G526" s="126"/>
      <c r="H526" s="126"/>
      <c r="I526" s="126"/>
      <c r="J526" s="126"/>
      <c r="K526" s="126"/>
      <c r="L526" s="126"/>
      <c r="M526" s="2"/>
      <c r="N526" s="2"/>
    </row>
    <row r="527" spans="1:14" ht="45" customHeight="1">
      <c r="A527" s="2"/>
      <c r="B527" s="2"/>
      <c r="C527" s="18" t="s">
        <v>1080</v>
      </c>
      <c r="D527" s="127" t="s">
        <v>1081</v>
      </c>
      <c r="E527" s="127"/>
      <c r="F527" s="127"/>
      <c r="G527" s="19" t="s">
        <v>7</v>
      </c>
      <c r="H527" s="127" t="s">
        <v>959</v>
      </c>
      <c r="I527" s="127"/>
      <c r="J527" s="19" t="s">
        <v>960</v>
      </c>
      <c r="K527" s="127" t="s">
        <v>961</v>
      </c>
      <c r="L527" s="127"/>
      <c r="M527" s="2"/>
      <c r="N527" s="2"/>
    </row>
    <row r="528" spans="1:14" ht="30" customHeight="1">
      <c r="A528" s="2"/>
      <c r="B528" s="2"/>
      <c r="C528" s="20" t="s">
        <v>822</v>
      </c>
      <c r="D528" s="126" t="s">
        <v>970</v>
      </c>
      <c r="E528" s="126"/>
      <c r="F528" s="126"/>
      <c r="G528" s="126"/>
      <c r="H528" s="126"/>
      <c r="I528" s="126"/>
      <c r="J528" s="126"/>
      <c r="K528" s="126"/>
      <c r="L528" s="126"/>
      <c r="M528" s="2"/>
      <c r="N528" s="2"/>
    </row>
    <row r="529" spans="1:14" ht="45" customHeight="1">
      <c r="A529" s="2"/>
      <c r="B529" s="2"/>
      <c r="C529" s="18" t="s">
        <v>1082</v>
      </c>
      <c r="D529" s="127" t="s">
        <v>1083</v>
      </c>
      <c r="E529" s="127"/>
      <c r="F529" s="127"/>
      <c r="G529" s="19" t="s">
        <v>7</v>
      </c>
      <c r="H529" s="127" t="s">
        <v>959</v>
      </c>
      <c r="I529" s="127"/>
      <c r="J529" s="19" t="s">
        <v>960</v>
      </c>
      <c r="K529" s="127" t="s">
        <v>961</v>
      </c>
      <c r="L529" s="127"/>
      <c r="M529" s="2"/>
      <c r="N529" s="2"/>
    </row>
    <row r="530" spans="1:14" ht="30" customHeight="1">
      <c r="A530" s="2"/>
      <c r="B530" s="2"/>
      <c r="C530" s="20" t="s">
        <v>822</v>
      </c>
      <c r="D530" s="126" t="s">
        <v>970</v>
      </c>
      <c r="E530" s="126"/>
      <c r="F530" s="126"/>
      <c r="G530" s="126"/>
      <c r="H530" s="126"/>
      <c r="I530" s="126"/>
      <c r="J530" s="126"/>
      <c r="K530" s="126"/>
      <c r="L530" s="126"/>
      <c r="M530" s="2"/>
      <c r="N530" s="2"/>
    </row>
    <row r="531" spans="1:14" ht="45" customHeight="1">
      <c r="A531" s="2"/>
      <c r="B531" s="2"/>
      <c r="C531" s="18" t="s">
        <v>68</v>
      </c>
      <c r="D531" s="127" t="s">
        <v>1084</v>
      </c>
      <c r="E531" s="127"/>
      <c r="F531" s="127"/>
      <c r="G531" s="19" t="s">
        <v>7</v>
      </c>
      <c r="H531" s="127" t="s">
        <v>959</v>
      </c>
      <c r="I531" s="127"/>
      <c r="J531" s="19" t="s">
        <v>960</v>
      </c>
      <c r="K531" s="127" t="s">
        <v>961</v>
      </c>
      <c r="L531" s="127"/>
      <c r="M531" s="2"/>
      <c r="N531" s="2"/>
    </row>
    <row r="532" spans="1:14" ht="30" customHeight="1">
      <c r="A532" s="2"/>
      <c r="B532" s="2"/>
      <c r="C532" s="20" t="s">
        <v>822</v>
      </c>
      <c r="D532" s="126" t="s">
        <v>970</v>
      </c>
      <c r="E532" s="126"/>
      <c r="F532" s="126"/>
      <c r="G532" s="126"/>
      <c r="H532" s="126"/>
      <c r="I532" s="126"/>
      <c r="J532" s="126"/>
      <c r="K532" s="126"/>
      <c r="L532" s="126"/>
      <c r="M532" s="2"/>
      <c r="N532" s="2"/>
    </row>
    <row r="533" spans="1:14" ht="45" customHeight="1">
      <c r="A533" s="2"/>
      <c r="B533" s="2"/>
      <c r="C533" s="18" t="s">
        <v>1085</v>
      </c>
      <c r="D533" s="127" t="s">
        <v>1086</v>
      </c>
      <c r="E533" s="127"/>
      <c r="F533" s="127"/>
      <c r="G533" s="19" t="s">
        <v>7</v>
      </c>
      <c r="H533" s="127" t="s">
        <v>989</v>
      </c>
      <c r="I533" s="127"/>
      <c r="J533" s="19" t="s">
        <v>960</v>
      </c>
      <c r="K533" s="127" t="s">
        <v>961</v>
      </c>
      <c r="L533" s="127"/>
      <c r="M533" s="2"/>
      <c r="N533" s="2"/>
    </row>
    <row r="534" spans="1:14" ht="30" customHeight="1">
      <c r="A534" s="2"/>
      <c r="B534" s="2"/>
      <c r="C534" s="20" t="s">
        <v>822</v>
      </c>
      <c r="D534" s="126" t="s">
        <v>970</v>
      </c>
      <c r="E534" s="126"/>
      <c r="F534" s="126"/>
      <c r="G534" s="126"/>
      <c r="H534" s="126"/>
      <c r="I534" s="126"/>
      <c r="J534" s="126"/>
      <c r="K534" s="126"/>
      <c r="L534" s="126"/>
      <c r="M534" s="2"/>
      <c r="N534" s="2"/>
    </row>
    <row r="535" spans="1:14" ht="45" customHeight="1">
      <c r="A535" s="2"/>
      <c r="B535" s="2"/>
      <c r="C535" s="18" t="s">
        <v>1087</v>
      </c>
      <c r="D535" s="127" t="s">
        <v>1088</v>
      </c>
      <c r="E535" s="127"/>
      <c r="F535" s="127"/>
      <c r="G535" s="19" t="s">
        <v>7</v>
      </c>
      <c r="H535" s="127" t="s">
        <v>959</v>
      </c>
      <c r="I535" s="127"/>
      <c r="J535" s="19" t="s">
        <v>960</v>
      </c>
      <c r="K535" s="127" t="s">
        <v>961</v>
      </c>
      <c r="L535" s="127"/>
      <c r="M535" s="2"/>
      <c r="N535" s="2"/>
    </row>
    <row r="536" spans="1:14" ht="30" customHeight="1">
      <c r="A536" s="2"/>
      <c r="B536" s="2"/>
      <c r="C536" s="20" t="s">
        <v>822</v>
      </c>
      <c r="D536" s="126" t="s">
        <v>970</v>
      </c>
      <c r="E536" s="126"/>
      <c r="F536" s="126"/>
      <c r="G536" s="126"/>
      <c r="H536" s="126"/>
      <c r="I536" s="126"/>
      <c r="J536" s="126"/>
      <c r="K536" s="126"/>
      <c r="L536" s="126"/>
      <c r="M536" s="2"/>
      <c r="N536" s="2"/>
    </row>
    <row r="537" spans="1:14" ht="45" customHeight="1">
      <c r="A537" s="2"/>
      <c r="B537" s="2"/>
      <c r="C537" s="18" t="s">
        <v>1089</v>
      </c>
      <c r="D537" s="127" t="s">
        <v>1090</v>
      </c>
      <c r="E537" s="127"/>
      <c r="F537" s="127"/>
      <c r="G537" s="19" t="s">
        <v>7</v>
      </c>
      <c r="H537" s="127" t="s">
        <v>959</v>
      </c>
      <c r="I537" s="127"/>
      <c r="J537" s="19" t="s">
        <v>960</v>
      </c>
      <c r="K537" s="127" t="s">
        <v>961</v>
      </c>
      <c r="L537" s="127"/>
      <c r="M537" s="2"/>
      <c r="N537" s="2"/>
    </row>
    <row r="538" spans="1:14" ht="30" customHeight="1">
      <c r="A538" s="2"/>
      <c r="B538" s="2"/>
      <c r="C538" s="20" t="s">
        <v>822</v>
      </c>
      <c r="D538" s="126" t="s">
        <v>970</v>
      </c>
      <c r="E538" s="126"/>
      <c r="F538" s="126"/>
      <c r="G538" s="126"/>
      <c r="H538" s="126"/>
      <c r="I538" s="126"/>
      <c r="J538" s="126"/>
      <c r="K538" s="126"/>
      <c r="L538" s="126"/>
      <c r="M538" s="2"/>
      <c r="N538" s="2"/>
    </row>
    <row r="539" spans="1:14" ht="45" customHeight="1">
      <c r="A539" s="2"/>
      <c r="B539" s="2"/>
      <c r="C539" s="18" t="s">
        <v>1091</v>
      </c>
      <c r="D539" s="127" t="s">
        <v>1092</v>
      </c>
      <c r="E539" s="127"/>
      <c r="F539" s="127"/>
      <c r="G539" s="19" t="s">
        <v>7</v>
      </c>
      <c r="H539" s="127" t="s">
        <v>959</v>
      </c>
      <c r="I539" s="127"/>
      <c r="J539" s="19" t="s">
        <v>960</v>
      </c>
      <c r="K539" s="127" t="s">
        <v>961</v>
      </c>
      <c r="L539" s="127"/>
      <c r="M539" s="2"/>
      <c r="N539" s="2"/>
    </row>
    <row r="540" spans="1:14" ht="30" customHeight="1">
      <c r="A540" s="2"/>
      <c r="B540" s="2"/>
      <c r="C540" s="20" t="s">
        <v>822</v>
      </c>
      <c r="D540" s="126" t="s">
        <v>970</v>
      </c>
      <c r="E540" s="126"/>
      <c r="F540" s="126"/>
      <c r="G540" s="126"/>
      <c r="H540" s="126"/>
      <c r="I540" s="126"/>
      <c r="J540" s="126"/>
      <c r="K540" s="126"/>
      <c r="L540" s="126"/>
      <c r="M540" s="2"/>
      <c r="N540" s="2"/>
    </row>
    <row r="541" spans="1:14" ht="45" customHeight="1">
      <c r="A541" s="2"/>
      <c r="B541" s="2"/>
      <c r="C541" s="18" t="s">
        <v>1093</v>
      </c>
      <c r="D541" s="127" t="s">
        <v>1094</v>
      </c>
      <c r="E541" s="127"/>
      <c r="F541" s="127"/>
      <c r="G541" s="19" t="s">
        <v>7</v>
      </c>
      <c r="H541" s="127" t="s">
        <v>959</v>
      </c>
      <c r="I541" s="127"/>
      <c r="J541" s="19" t="s">
        <v>960</v>
      </c>
      <c r="K541" s="127" t="s">
        <v>961</v>
      </c>
      <c r="L541" s="127"/>
      <c r="M541" s="2"/>
      <c r="N541" s="2"/>
    </row>
    <row r="542" spans="1:14" ht="30" customHeight="1">
      <c r="A542" s="2"/>
      <c r="B542" s="2"/>
      <c r="C542" s="20" t="s">
        <v>822</v>
      </c>
      <c r="D542" s="126" t="s">
        <v>970</v>
      </c>
      <c r="E542" s="126"/>
      <c r="F542" s="126"/>
      <c r="G542" s="126"/>
      <c r="H542" s="126"/>
      <c r="I542" s="126"/>
      <c r="J542" s="126"/>
      <c r="K542" s="126"/>
      <c r="L542" s="126"/>
      <c r="M542" s="2"/>
      <c r="N542" s="2"/>
    </row>
    <row r="543" spans="1:14" ht="45" customHeight="1">
      <c r="A543" s="2"/>
      <c r="B543" s="2"/>
      <c r="C543" s="18" t="s">
        <v>1095</v>
      </c>
      <c r="D543" s="127" t="s">
        <v>1096</v>
      </c>
      <c r="E543" s="127"/>
      <c r="F543" s="127"/>
      <c r="G543" s="19" t="s">
        <v>7</v>
      </c>
      <c r="H543" s="127" t="s">
        <v>1097</v>
      </c>
      <c r="I543" s="127"/>
      <c r="J543" s="19" t="s">
        <v>1098</v>
      </c>
      <c r="K543" s="128" t="s">
        <v>1099</v>
      </c>
      <c r="L543" s="127"/>
      <c r="M543" s="2"/>
      <c r="N543" s="2"/>
    </row>
    <row r="544" spans="1:14" ht="30" customHeight="1">
      <c r="A544" s="2"/>
      <c r="B544" s="2"/>
      <c r="C544" s="20" t="s">
        <v>822</v>
      </c>
      <c r="D544" s="126" t="s">
        <v>970</v>
      </c>
      <c r="E544" s="126"/>
      <c r="F544" s="126"/>
      <c r="G544" s="126"/>
      <c r="H544" s="126"/>
      <c r="I544" s="126"/>
      <c r="J544" s="126"/>
      <c r="K544" s="126"/>
      <c r="L544" s="126"/>
      <c r="M544" s="2"/>
      <c r="N544" s="2"/>
    </row>
    <row r="545" spans="1:14" ht="45" customHeight="1">
      <c r="A545" s="2"/>
      <c r="B545" s="2"/>
      <c r="C545" s="18" t="s">
        <v>1100</v>
      </c>
      <c r="D545" s="127" t="s">
        <v>1101</v>
      </c>
      <c r="E545" s="127"/>
      <c r="F545" s="127"/>
      <c r="G545" s="19" t="s">
        <v>7</v>
      </c>
      <c r="H545" s="127" t="s">
        <v>1097</v>
      </c>
      <c r="I545" s="127"/>
      <c r="J545" s="19" t="s">
        <v>1098</v>
      </c>
      <c r="K545" s="128" t="s">
        <v>1099</v>
      </c>
      <c r="L545" s="127"/>
      <c r="M545" s="2"/>
      <c r="N545" s="2"/>
    </row>
    <row r="546" spans="1:14" ht="30" customHeight="1">
      <c r="A546" s="2"/>
      <c r="B546" s="2"/>
      <c r="C546" s="20" t="s">
        <v>822</v>
      </c>
      <c r="D546" s="126" t="s">
        <v>970</v>
      </c>
      <c r="E546" s="126"/>
      <c r="F546" s="126"/>
      <c r="G546" s="126"/>
      <c r="H546" s="126"/>
      <c r="I546" s="126"/>
      <c r="J546" s="126"/>
      <c r="K546" s="126"/>
      <c r="L546" s="126"/>
      <c r="M546" s="2"/>
      <c r="N546" s="2"/>
    </row>
    <row r="547" spans="1:14" ht="45" customHeight="1">
      <c r="A547" s="2"/>
      <c r="B547" s="2"/>
      <c r="C547" s="18" t="s">
        <v>96</v>
      </c>
      <c r="D547" s="127" t="s">
        <v>1102</v>
      </c>
      <c r="E547" s="127"/>
      <c r="F547" s="127"/>
      <c r="G547" s="19" t="s">
        <v>7</v>
      </c>
      <c r="H547" s="127" t="s">
        <v>959</v>
      </c>
      <c r="I547" s="127"/>
      <c r="J547" s="19" t="s">
        <v>960</v>
      </c>
      <c r="K547" s="127" t="s">
        <v>961</v>
      </c>
      <c r="L547" s="127"/>
      <c r="M547" s="2"/>
      <c r="N547" s="2"/>
    </row>
    <row r="548" spans="1:14" ht="30" customHeight="1">
      <c r="A548" s="2"/>
      <c r="B548" s="2"/>
      <c r="C548" s="20" t="s">
        <v>822</v>
      </c>
      <c r="D548" s="126" t="s">
        <v>970</v>
      </c>
      <c r="E548" s="126"/>
      <c r="F548" s="126"/>
      <c r="G548" s="126"/>
      <c r="H548" s="126"/>
      <c r="I548" s="126"/>
      <c r="J548" s="126"/>
      <c r="K548" s="126"/>
      <c r="L548" s="126"/>
      <c r="M548" s="2"/>
      <c r="N548" s="2"/>
    </row>
    <row r="549" spans="1:14" ht="45" customHeight="1">
      <c r="A549" s="2"/>
      <c r="B549" s="2"/>
      <c r="C549" s="18" t="s">
        <v>1103</v>
      </c>
      <c r="D549" s="127" t="s">
        <v>1104</v>
      </c>
      <c r="E549" s="127"/>
      <c r="F549" s="127"/>
      <c r="G549" s="19" t="s">
        <v>7</v>
      </c>
      <c r="H549" s="127" t="s">
        <v>959</v>
      </c>
      <c r="I549" s="127"/>
      <c r="J549" s="19" t="s">
        <v>960</v>
      </c>
      <c r="K549" s="127" t="s">
        <v>961</v>
      </c>
      <c r="L549" s="127"/>
      <c r="M549" s="2"/>
      <c r="N549" s="2"/>
    </row>
    <row r="550" spans="1:14" ht="30" customHeight="1">
      <c r="A550" s="2"/>
      <c r="B550" s="2"/>
      <c r="C550" s="20" t="s">
        <v>822</v>
      </c>
      <c r="D550" s="126" t="s">
        <v>970</v>
      </c>
      <c r="E550" s="126"/>
      <c r="F550" s="126"/>
      <c r="G550" s="126"/>
      <c r="H550" s="126"/>
      <c r="I550" s="126"/>
      <c r="J550" s="126"/>
      <c r="K550" s="126"/>
      <c r="L550" s="126"/>
      <c r="M550" s="2"/>
      <c r="N550" s="2"/>
    </row>
    <row r="551" spans="1:14" ht="45" customHeight="1">
      <c r="A551" s="2"/>
      <c r="B551" s="2"/>
      <c r="C551" s="18" t="s">
        <v>1105</v>
      </c>
      <c r="D551" s="127" t="s">
        <v>1106</v>
      </c>
      <c r="E551" s="127"/>
      <c r="F551" s="127"/>
      <c r="G551" s="19" t="s">
        <v>7</v>
      </c>
      <c r="H551" s="127" t="s">
        <v>989</v>
      </c>
      <c r="I551" s="127"/>
      <c r="J551" s="19" t="s">
        <v>960</v>
      </c>
      <c r="K551" s="127" t="s">
        <v>961</v>
      </c>
      <c r="L551" s="127"/>
      <c r="M551" s="2"/>
      <c r="N551" s="2"/>
    </row>
    <row r="552" spans="1:14" ht="30" customHeight="1">
      <c r="A552" s="2"/>
      <c r="B552" s="2"/>
      <c r="C552" s="20" t="s">
        <v>822</v>
      </c>
      <c r="D552" s="126" t="s">
        <v>970</v>
      </c>
      <c r="E552" s="126"/>
      <c r="F552" s="126"/>
      <c r="G552" s="126"/>
      <c r="H552" s="126"/>
      <c r="I552" s="126"/>
      <c r="J552" s="126"/>
      <c r="K552" s="126"/>
      <c r="L552" s="126"/>
      <c r="M552" s="2"/>
      <c r="N552" s="2"/>
    </row>
    <row r="553" spans="1:14" ht="45" customHeight="1">
      <c r="A553" s="2"/>
      <c r="B553" s="2"/>
      <c r="C553" s="18" t="s">
        <v>1107</v>
      </c>
      <c r="D553" s="127" t="s">
        <v>1108</v>
      </c>
      <c r="E553" s="127"/>
      <c r="F553" s="127"/>
      <c r="G553" s="19" t="s">
        <v>7</v>
      </c>
      <c r="H553" s="127" t="s">
        <v>989</v>
      </c>
      <c r="I553" s="127"/>
      <c r="J553" s="19" t="s">
        <v>960</v>
      </c>
      <c r="K553" s="127" t="s">
        <v>961</v>
      </c>
      <c r="L553" s="127"/>
      <c r="M553" s="2"/>
      <c r="N553" s="2"/>
    </row>
    <row r="554" spans="1:14" ht="30" customHeight="1">
      <c r="A554" s="2"/>
      <c r="B554" s="2"/>
      <c r="C554" s="20" t="s">
        <v>822</v>
      </c>
      <c r="D554" s="126" t="s">
        <v>970</v>
      </c>
      <c r="E554" s="126"/>
      <c r="F554" s="126"/>
      <c r="G554" s="126"/>
      <c r="H554" s="126"/>
      <c r="I554" s="126"/>
      <c r="J554" s="126"/>
      <c r="K554" s="126"/>
      <c r="L554" s="126"/>
      <c r="M554" s="2"/>
      <c r="N554" s="2"/>
    </row>
    <row r="555" spans="1:14" ht="45" customHeight="1">
      <c r="A555" s="2"/>
      <c r="B555" s="2"/>
      <c r="C555" s="18" t="s">
        <v>63</v>
      </c>
      <c r="D555" s="127" t="s">
        <v>1109</v>
      </c>
      <c r="E555" s="127"/>
      <c r="F555" s="127"/>
      <c r="G555" s="19" t="s">
        <v>7</v>
      </c>
      <c r="H555" s="127" t="s">
        <v>959</v>
      </c>
      <c r="I555" s="127"/>
      <c r="J555" s="19" t="s">
        <v>960</v>
      </c>
      <c r="K555" s="127" t="s">
        <v>961</v>
      </c>
      <c r="L555" s="127"/>
      <c r="M555" s="2"/>
      <c r="N555" s="2"/>
    </row>
    <row r="556" spans="1:14" ht="30" customHeight="1">
      <c r="A556" s="2"/>
      <c r="B556" s="2"/>
      <c r="C556" s="20" t="s">
        <v>822</v>
      </c>
      <c r="D556" s="126" t="s">
        <v>1110</v>
      </c>
      <c r="E556" s="126"/>
      <c r="F556" s="126"/>
      <c r="G556" s="126"/>
      <c r="H556" s="126"/>
      <c r="I556" s="126"/>
      <c r="J556" s="126"/>
      <c r="K556" s="126"/>
      <c r="L556" s="126"/>
      <c r="M556" s="2"/>
      <c r="N556" s="2"/>
    </row>
    <row r="557" spans="1:14" ht="45" customHeight="1">
      <c r="A557" s="2"/>
      <c r="B557" s="2"/>
      <c r="C557" s="18" t="s">
        <v>65</v>
      </c>
      <c r="D557" s="127" t="s">
        <v>1111</v>
      </c>
      <c r="E557" s="127"/>
      <c r="F557" s="127"/>
      <c r="G557" s="19" t="s">
        <v>7</v>
      </c>
      <c r="H557" s="127" t="s">
        <v>959</v>
      </c>
      <c r="I557" s="127"/>
      <c r="J557" s="19" t="s">
        <v>960</v>
      </c>
      <c r="K557" s="127" t="s">
        <v>961</v>
      </c>
      <c r="L557" s="127"/>
      <c r="M557" s="2"/>
      <c r="N557" s="2"/>
    </row>
    <row r="558" spans="1:14" ht="30" customHeight="1">
      <c r="A558" s="2"/>
      <c r="B558" s="2"/>
      <c r="C558" s="20" t="s">
        <v>822</v>
      </c>
      <c r="D558" s="126" t="s">
        <v>1112</v>
      </c>
      <c r="E558" s="126"/>
      <c r="F558" s="126"/>
      <c r="G558" s="126"/>
      <c r="H558" s="126"/>
      <c r="I558" s="126"/>
      <c r="J558" s="126"/>
      <c r="K558" s="126"/>
      <c r="L558" s="126"/>
      <c r="M558" s="2"/>
      <c r="N558" s="2"/>
    </row>
    <row r="559" spans="1:14" ht="45" customHeight="1">
      <c r="A559" s="2"/>
      <c r="B559" s="2"/>
      <c r="C559" s="18" t="s">
        <v>112</v>
      </c>
      <c r="D559" s="127" t="s">
        <v>1113</v>
      </c>
      <c r="E559" s="127"/>
      <c r="F559" s="127"/>
      <c r="G559" s="19" t="s">
        <v>7</v>
      </c>
      <c r="H559" s="127" t="s">
        <v>959</v>
      </c>
      <c r="I559" s="127"/>
      <c r="J559" s="19" t="s">
        <v>960</v>
      </c>
      <c r="K559" s="127" t="s">
        <v>961</v>
      </c>
      <c r="L559" s="127"/>
      <c r="M559" s="2"/>
      <c r="N559" s="2"/>
    </row>
    <row r="560" spans="1:14" ht="30" customHeight="1">
      <c r="A560" s="2"/>
      <c r="B560" s="2"/>
      <c r="C560" s="20" t="s">
        <v>822</v>
      </c>
      <c r="D560" s="126" t="s">
        <v>1114</v>
      </c>
      <c r="E560" s="126"/>
      <c r="F560" s="126"/>
      <c r="G560" s="126"/>
      <c r="H560" s="126"/>
      <c r="I560" s="126"/>
      <c r="J560" s="126"/>
      <c r="K560" s="126"/>
      <c r="L560" s="126"/>
      <c r="M560" s="2"/>
      <c r="N560" s="2"/>
    </row>
    <row r="561" spans="1:14" ht="45" customHeight="1">
      <c r="A561" s="2"/>
      <c r="B561" s="2"/>
      <c r="C561" s="18" t="s">
        <v>73</v>
      </c>
      <c r="D561" s="127" t="s">
        <v>1115</v>
      </c>
      <c r="E561" s="127"/>
      <c r="F561" s="127"/>
      <c r="G561" s="19" t="s">
        <v>7</v>
      </c>
      <c r="H561" s="127" t="s">
        <v>959</v>
      </c>
      <c r="I561" s="127"/>
      <c r="J561" s="19" t="s">
        <v>960</v>
      </c>
      <c r="K561" s="127" t="s">
        <v>961</v>
      </c>
      <c r="L561" s="127"/>
      <c r="M561" s="2"/>
      <c r="N561" s="2"/>
    </row>
    <row r="562" spans="1:14" ht="30" customHeight="1">
      <c r="A562" s="2"/>
      <c r="B562" s="2"/>
      <c r="C562" s="20" t="s">
        <v>822</v>
      </c>
      <c r="D562" s="126" t="s">
        <v>1116</v>
      </c>
      <c r="E562" s="126"/>
      <c r="F562" s="126"/>
      <c r="G562" s="126"/>
      <c r="H562" s="126"/>
      <c r="I562" s="126"/>
      <c r="J562" s="126"/>
      <c r="K562" s="126"/>
      <c r="L562" s="126"/>
      <c r="M562" s="2"/>
      <c r="N562" s="2"/>
    </row>
    <row r="563" spans="1:14" ht="45" customHeight="1">
      <c r="A563" s="2"/>
      <c r="B563" s="2"/>
      <c r="C563" s="18" t="s">
        <v>110</v>
      </c>
      <c r="D563" s="127" t="s">
        <v>1117</v>
      </c>
      <c r="E563" s="127"/>
      <c r="F563" s="127"/>
      <c r="G563" s="19" t="s">
        <v>7</v>
      </c>
      <c r="H563" s="127" t="s">
        <v>959</v>
      </c>
      <c r="I563" s="127"/>
      <c r="J563" s="19" t="s">
        <v>960</v>
      </c>
      <c r="K563" s="127" t="s">
        <v>961</v>
      </c>
      <c r="L563" s="127"/>
      <c r="M563" s="2"/>
      <c r="N563" s="2"/>
    </row>
    <row r="564" spans="1:14" ht="30" customHeight="1">
      <c r="A564" s="2"/>
      <c r="B564" s="2"/>
      <c r="C564" s="20" t="s">
        <v>822</v>
      </c>
      <c r="D564" s="126" t="s">
        <v>1118</v>
      </c>
      <c r="E564" s="126"/>
      <c r="F564" s="126"/>
      <c r="G564" s="126"/>
      <c r="H564" s="126"/>
      <c r="I564" s="126"/>
      <c r="J564" s="126"/>
      <c r="K564" s="126"/>
      <c r="L564" s="126"/>
      <c r="M564" s="2"/>
      <c r="N564" s="2"/>
    </row>
    <row r="565" spans="1:14" ht="45" customHeight="1">
      <c r="A565" s="2"/>
      <c r="B565" s="2"/>
      <c r="C565" s="18" t="s">
        <v>92</v>
      </c>
      <c r="D565" s="127" t="s">
        <v>1119</v>
      </c>
      <c r="E565" s="127"/>
      <c r="F565" s="127"/>
      <c r="G565" s="19" t="s">
        <v>7</v>
      </c>
      <c r="H565" s="127" t="s">
        <v>959</v>
      </c>
      <c r="I565" s="127"/>
      <c r="J565" s="19" t="s">
        <v>960</v>
      </c>
      <c r="K565" s="127" t="s">
        <v>961</v>
      </c>
      <c r="L565" s="127"/>
      <c r="M565" s="2"/>
      <c r="N565" s="2"/>
    </row>
    <row r="566" spans="1:14" ht="30" customHeight="1">
      <c r="A566" s="2"/>
      <c r="B566" s="2"/>
      <c r="C566" s="20" t="s">
        <v>822</v>
      </c>
      <c r="D566" s="126" t="s">
        <v>1120</v>
      </c>
      <c r="E566" s="126"/>
      <c r="F566" s="126"/>
      <c r="G566" s="126"/>
      <c r="H566" s="126"/>
      <c r="I566" s="126"/>
      <c r="J566" s="126"/>
      <c r="K566" s="126"/>
      <c r="L566" s="126"/>
      <c r="M566" s="2"/>
      <c r="N566" s="2"/>
    </row>
    <row r="567" spans="1:14" ht="45" customHeight="1">
      <c r="A567" s="2"/>
      <c r="B567" s="2"/>
      <c r="C567" s="18" t="s">
        <v>114</v>
      </c>
      <c r="D567" s="127" t="s">
        <v>1121</v>
      </c>
      <c r="E567" s="127"/>
      <c r="F567" s="127"/>
      <c r="G567" s="19" t="s">
        <v>7</v>
      </c>
      <c r="H567" s="127" t="s">
        <v>959</v>
      </c>
      <c r="I567" s="127"/>
      <c r="J567" s="19" t="s">
        <v>960</v>
      </c>
      <c r="K567" s="127" t="s">
        <v>961</v>
      </c>
      <c r="L567" s="127"/>
      <c r="M567" s="2"/>
      <c r="N567" s="2"/>
    </row>
    <row r="568" spans="1:14" ht="30" customHeight="1">
      <c r="A568" s="2"/>
      <c r="B568" s="2"/>
      <c r="C568" s="20" t="s">
        <v>822</v>
      </c>
      <c r="D568" s="126" t="s">
        <v>1122</v>
      </c>
      <c r="E568" s="126"/>
      <c r="F568" s="126"/>
      <c r="G568" s="126"/>
      <c r="H568" s="126"/>
      <c r="I568" s="126"/>
      <c r="J568" s="126"/>
      <c r="K568" s="126"/>
      <c r="L568" s="126"/>
      <c r="M568" s="2"/>
      <c r="N568" s="2"/>
    </row>
    <row r="569" spans="1:14" ht="45" customHeight="1">
      <c r="A569" s="2"/>
      <c r="B569" s="2"/>
      <c r="C569" s="18" t="s">
        <v>102</v>
      </c>
      <c r="D569" s="127" t="s">
        <v>1123</v>
      </c>
      <c r="E569" s="127"/>
      <c r="F569" s="127"/>
      <c r="G569" s="19" t="s">
        <v>7</v>
      </c>
      <c r="H569" s="127" t="s">
        <v>959</v>
      </c>
      <c r="I569" s="127"/>
      <c r="J569" s="19" t="s">
        <v>960</v>
      </c>
      <c r="K569" s="127" t="s">
        <v>961</v>
      </c>
      <c r="L569" s="127"/>
      <c r="M569" s="2"/>
      <c r="N569" s="2"/>
    </row>
    <row r="570" spans="1:14" ht="30" customHeight="1">
      <c r="A570" s="2"/>
      <c r="B570" s="2"/>
      <c r="C570" s="20" t="s">
        <v>822</v>
      </c>
      <c r="D570" s="126" t="s">
        <v>1124</v>
      </c>
      <c r="E570" s="126"/>
      <c r="F570" s="126"/>
      <c r="G570" s="126"/>
      <c r="H570" s="126"/>
      <c r="I570" s="126"/>
      <c r="J570" s="126"/>
      <c r="K570" s="126"/>
      <c r="L570" s="126"/>
      <c r="M570" s="2"/>
      <c r="N570" s="2"/>
    </row>
    <row r="571" spans="1:14" ht="45" customHeight="1">
      <c r="A571" s="2"/>
      <c r="B571" s="2"/>
      <c r="C571" s="18" t="s">
        <v>100</v>
      </c>
      <c r="D571" s="127" t="s">
        <v>1125</v>
      </c>
      <c r="E571" s="127"/>
      <c r="F571" s="127"/>
      <c r="G571" s="19" t="s">
        <v>7</v>
      </c>
      <c r="H571" s="127" t="s">
        <v>959</v>
      </c>
      <c r="I571" s="127"/>
      <c r="J571" s="19" t="s">
        <v>960</v>
      </c>
      <c r="K571" s="127" t="s">
        <v>961</v>
      </c>
      <c r="L571" s="127"/>
      <c r="M571" s="2"/>
      <c r="N571" s="2"/>
    </row>
    <row r="572" spans="1:14" ht="30" customHeight="1">
      <c r="A572" s="2"/>
      <c r="B572" s="2"/>
      <c r="C572" s="20" t="s">
        <v>822</v>
      </c>
      <c r="D572" s="126" t="s">
        <v>970</v>
      </c>
      <c r="E572" s="126"/>
      <c r="F572" s="126"/>
      <c r="G572" s="126"/>
      <c r="H572" s="126"/>
      <c r="I572" s="126"/>
      <c r="J572" s="126"/>
      <c r="K572" s="126"/>
      <c r="L572" s="126"/>
      <c r="M572" s="2"/>
      <c r="N572" s="2"/>
    </row>
    <row r="573" spans="1:14" ht="45" customHeight="1">
      <c r="A573" s="2"/>
      <c r="B573" s="2"/>
      <c r="C573" s="18" t="s">
        <v>1126</v>
      </c>
      <c r="D573" s="127" t="s">
        <v>1127</v>
      </c>
      <c r="E573" s="127"/>
      <c r="F573" s="127"/>
      <c r="G573" s="19" t="s">
        <v>7</v>
      </c>
      <c r="H573" s="127" t="s">
        <v>959</v>
      </c>
      <c r="I573" s="127"/>
      <c r="J573" s="19" t="s">
        <v>960</v>
      </c>
      <c r="K573" s="127" t="s">
        <v>961</v>
      </c>
      <c r="L573" s="127"/>
      <c r="M573" s="2"/>
      <c r="N573" s="2"/>
    </row>
    <row r="574" spans="1:14" ht="30" customHeight="1">
      <c r="A574" s="2"/>
      <c r="B574" s="2"/>
      <c r="C574" s="20" t="s">
        <v>822</v>
      </c>
      <c r="D574" s="126" t="s">
        <v>970</v>
      </c>
      <c r="E574" s="126"/>
      <c r="F574" s="126"/>
      <c r="G574" s="126"/>
      <c r="H574" s="126"/>
      <c r="I574" s="126"/>
      <c r="J574" s="126"/>
      <c r="K574" s="126"/>
      <c r="L574" s="126"/>
      <c r="M574" s="2"/>
      <c r="N574" s="2"/>
    </row>
    <row r="575" spans="1:14" ht="45" customHeight="1">
      <c r="A575" s="2"/>
      <c r="B575" s="2"/>
      <c r="C575" s="18" t="s">
        <v>104</v>
      </c>
      <c r="D575" s="127" t="s">
        <v>1128</v>
      </c>
      <c r="E575" s="127"/>
      <c r="F575" s="127"/>
      <c r="G575" s="19" t="s">
        <v>7</v>
      </c>
      <c r="H575" s="127" t="s">
        <v>959</v>
      </c>
      <c r="I575" s="127"/>
      <c r="J575" s="19" t="s">
        <v>960</v>
      </c>
      <c r="K575" s="127" t="s">
        <v>961</v>
      </c>
      <c r="L575" s="127"/>
      <c r="M575" s="2"/>
      <c r="N575" s="2"/>
    </row>
    <row r="576" spans="1:14" ht="30" customHeight="1">
      <c r="A576" s="2"/>
      <c r="B576" s="2"/>
      <c r="C576" s="20" t="s">
        <v>822</v>
      </c>
      <c r="D576" s="126" t="s">
        <v>1129</v>
      </c>
      <c r="E576" s="126"/>
      <c r="F576" s="126"/>
      <c r="G576" s="126"/>
      <c r="H576" s="126"/>
      <c r="I576" s="126"/>
      <c r="J576" s="126"/>
      <c r="K576" s="126"/>
      <c r="L576" s="126"/>
      <c r="M576" s="2"/>
      <c r="N576" s="2"/>
    </row>
    <row r="577" spans="1:14" ht="45" customHeight="1">
      <c r="A577" s="2"/>
      <c r="B577" s="2"/>
      <c r="C577" s="18" t="s">
        <v>116</v>
      </c>
      <c r="D577" s="127" t="s">
        <v>1130</v>
      </c>
      <c r="E577" s="127"/>
      <c r="F577" s="127"/>
      <c r="G577" s="19" t="s">
        <v>7</v>
      </c>
      <c r="H577" s="127" t="s">
        <v>959</v>
      </c>
      <c r="I577" s="127"/>
      <c r="J577" s="19" t="s">
        <v>960</v>
      </c>
      <c r="K577" s="127" t="s">
        <v>961</v>
      </c>
      <c r="L577" s="127"/>
      <c r="M577" s="2"/>
      <c r="N577" s="2"/>
    </row>
    <row r="578" spans="1:14" ht="30" customHeight="1">
      <c r="A578" s="2"/>
      <c r="B578" s="2"/>
      <c r="C578" s="20" t="s">
        <v>822</v>
      </c>
      <c r="D578" s="126" t="s">
        <v>970</v>
      </c>
      <c r="E578" s="126"/>
      <c r="F578" s="126"/>
      <c r="G578" s="126"/>
      <c r="H578" s="126"/>
      <c r="I578" s="126"/>
      <c r="J578" s="126"/>
      <c r="K578" s="126"/>
      <c r="L578" s="126"/>
      <c r="M578" s="2"/>
      <c r="N578" s="2"/>
    </row>
    <row r="579" spans="1:14" ht="45" customHeight="1">
      <c r="A579" s="2"/>
      <c r="B579" s="2"/>
      <c r="C579" s="18" t="s">
        <v>1131</v>
      </c>
      <c r="D579" s="127" t="s">
        <v>1132</v>
      </c>
      <c r="E579" s="127"/>
      <c r="F579" s="127"/>
      <c r="G579" s="19" t="s">
        <v>7</v>
      </c>
      <c r="H579" s="127" t="s">
        <v>959</v>
      </c>
      <c r="I579" s="127"/>
      <c r="J579" s="19" t="s">
        <v>960</v>
      </c>
      <c r="K579" s="127" t="s">
        <v>961</v>
      </c>
      <c r="L579" s="127"/>
      <c r="M579" s="2"/>
      <c r="N579" s="2"/>
    </row>
    <row r="580" spans="1:14" ht="30" customHeight="1">
      <c r="A580" s="2"/>
      <c r="B580" s="2"/>
      <c r="C580" s="20" t="s">
        <v>822</v>
      </c>
      <c r="D580" s="126" t="s">
        <v>970</v>
      </c>
      <c r="E580" s="126"/>
      <c r="F580" s="126"/>
      <c r="G580" s="126"/>
      <c r="H580" s="126"/>
      <c r="I580" s="126"/>
      <c r="J580" s="126"/>
      <c r="K580" s="126"/>
      <c r="L580" s="126"/>
      <c r="M580" s="2"/>
      <c r="N580" s="2"/>
    </row>
    <row r="581" spans="1:14" ht="45" customHeight="1">
      <c r="A581" s="2"/>
      <c r="B581" s="2"/>
      <c r="C581" s="18" t="s">
        <v>1133</v>
      </c>
      <c r="D581" s="127" t="s">
        <v>1134</v>
      </c>
      <c r="E581" s="127"/>
      <c r="F581" s="127"/>
      <c r="G581" s="19" t="s">
        <v>7</v>
      </c>
      <c r="H581" s="127" t="s">
        <v>989</v>
      </c>
      <c r="I581" s="127"/>
      <c r="J581" s="19" t="s">
        <v>960</v>
      </c>
      <c r="K581" s="127" t="s">
        <v>961</v>
      </c>
      <c r="L581" s="127"/>
      <c r="M581" s="2"/>
      <c r="N581" s="2"/>
    </row>
    <row r="582" spans="1:14" ht="30" customHeight="1">
      <c r="A582" s="2"/>
      <c r="B582" s="2"/>
      <c r="C582" s="20" t="s">
        <v>822</v>
      </c>
      <c r="D582" s="126" t="s">
        <v>970</v>
      </c>
      <c r="E582" s="126"/>
      <c r="F582" s="126"/>
      <c r="G582" s="126"/>
      <c r="H582" s="126"/>
      <c r="I582" s="126"/>
      <c r="J582" s="126"/>
      <c r="K582" s="126"/>
      <c r="L582" s="126"/>
      <c r="M582" s="2"/>
      <c r="N582" s="2"/>
    </row>
    <row r="583" spans="1:14" ht="45" customHeight="1">
      <c r="A583" s="2"/>
      <c r="B583" s="2"/>
      <c r="C583" s="18" t="s">
        <v>1135</v>
      </c>
      <c r="D583" s="127" t="s">
        <v>1136</v>
      </c>
      <c r="E583" s="127"/>
      <c r="F583" s="127"/>
      <c r="G583" s="19" t="s">
        <v>7</v>
      </c>
      <c r="H583" s="127" t="s">
        <v>989</v>
      </c>
      <c r="I583" s="127"/>
      <c r="J583" s="19" t="s">
        <v>960</v>
      </c>
      <c r="K583" s="127" t="s">
        <v>961</v>
      </c>
      <c r="L583" s="127"/>
      <c r="M583" s="2"/>
      <c r="N583" s="2"/>
    </row>
    <row r="584" spans="1:14" ht="30" customHeight="1">
      <c r="A584" s="2"/>
      <c r="B584" s="2"/>
      <c r="C584" s="20" t="s">
        <v>822</v>
      </c>
      <c r="D584" s="126" t="s">
        <v>970</v>
      </c>
      <c r="E584" s="126"/>
      <c r="F584" s="126"/>
      <c r="G584" s="126"/>
      <c r="H584" s="126"/>
      <c r="I584" s="126"/>
      <c r="J584" s="126"/>
      <c r="K584" s="126"/>
      <c r="L584" s="126"/>
      <c r="M584" s="2"/>
      <c r="N584" s="2"/>
    </row>
    <row r="585" spans="1:14" ht="45" customHeight="1">
      <c r="A585" s="2"/>
      <c r="B585" s="2"/>
      <c r="C585" s="18" t="s">
        <v>1137</v>
      </c>
      <c r="D585" s="127" t="s">
        <v>1138</v>
      </c>
      <c r="E585" s="127"/>
      <c r="F585" s="127"/>
      <c r="G585" s="19" t="s">
        <v>7</v>
      </c>
      <c r="H585" s="127" t="s">
        <v>959</v>
      </c>
      <c r="I585" s="127"/>
      <c r="J585" s="19" t="s">
        <v>960</v>
      </c>
      <c r="K585" s="127" t="s">
        <v>961</v>
      </c>
      <c r="L585" s="127"/>
      <c r="M585" s="2"/>
      <c r="N585" s="2"/>
    </row>
    <row r="586" spans="1:14" ht="30" customHeight="1">
      <c r="A586" s="2"/>
      <c r="B586" s="2"/>
      <c r="C586" s="20" t="s">
        <v>822</v>
      </c>
      <c r="D586" s="126" t="s">
        <v>970</v>
      </c>
      <c r="E586" s="126"/>
      <c r="F586" s="126"/>
      <c r="G586" s="126"/>
      <c r="H586" s="126"/>
      <c r="I586" s="126"/>
      <c r="J586" s="126"/>
      <c r="K586" s="126"/>
      <c r="L586" s="126"/>
      <c r="M586" s="2"/>
      <c r="N586" s="2"/>
    </row>
    <row r="587" spans="1:14" ht="45" customHeight="1">
      <c r="A587" s="2"/>
      <c r="B587" s="2"/>
      <c r="C587" s="18" t="s">
        <v>1139</v>
      </c>
      <c r="D587" s="127" t="s">
        <v>1140</v>
      </c>
      <c r="E587" s="127"/>
      <c r="F587" s="127"/>
      <c r="G587" s="19" t="s">
        <v>7</v>
      </c>
      <c r="H587" s="127" t="s">
        <v>959</v>
      </c>
      <c r="I587" s="127"/>
      <c r="J587" s="19" t="s">
        <v>960</v>
      </c>
      <c r="K587" s="127" t="s">
        <v>961</v>
      </c>
      <c r="L587" s="127"/>
      <c r="M587" s="2"/>
      <c r="N587" s="2"/>
    </row>
    <row r="588" spans="1:14" ht="30" customHeight="1">
      <c r="A588" s="2"/>
      <c r="B588" s="2"/>
      <c r="C588" s="20" t="s">
        <v>822</v>
      </c>
      <c r="D588" s="126" t="s">
        <v>970</v>
      </c>
      <c r="E588" s="126"/>
      <c r="F588" s="126"/>
      <c r="G588" s="126"/>
      <c r="H588" s="126"/>
      <c r="I588" s="126"/>
      <c r="J588" s="126"/>
      <c r="K588" s="126"/>
      <c r="L588" s="126"/>
      <c r="M588" s="2"/>
      <c r="N588" s="2"/>
    </row>
    <row r="589" spans="1:14" ht="45" customHeight="1">
      <c r="A589" s="2"/>
      <c r="B589" s="2"/>
      <c r="C589" s="18" t="s">
        <v>1141</v>
      </c>
      <c r="D589" s="127" t="s">
        <v>1142</v>
      </c>
      <c r="E589" s="127"/>
      <c r="F589" s="127"/>
      <c r="G589" s="19" t="s">
        <v>7</v>
      </c>
      <c r="H589" s="127" t="s">
        <v>959</v>
      </c>
      <c r="I589" s="127"/>
      <c r="J589" s="19" t="s">
        <v>960</v>
      </c>
      <c r="K589" s="127" t="s">
        <v>961</v>
      </c>
      <c r="L589" s="127"/>
      <c r="M589" s="2"/>
      <c r="N589" s="2"/>
    </row>
    <row r="590" spans="1:14" ht="30" customHeight="1">
      <c r="A590" s="2"/>
      <c r="B590" s="2"/>
      <c r="C590" s="20" t="s">
        <v>822</v>
      </c>
      <c r="D590" s="126" t="s">
        <v>970</v>
      </c>
      <c r="E590" s="126"/>
      <c r="F590" s="126"/>
      <c r="G590" s="126"/>
      <c r="H590" s="126"/>
      <c r="I590" s="126"/>
      <c r="J590" s="126"/>
      <c r="K590" s="126"/>
      <c r="L590" s="126"/>
      <c r="M590" s="2"/>
      <c r="N590" s="2"/>
    </row>
    <row r="591" spans="1:14" ht="45" customHeight="1">
      <c r="A591" s="2"/>
      <c r="B591" s="2"/>
      <c r="C591" s="18" t="s">
        <v>1143</v>
      </c>
      <c r="D591" s="127" t="s">
        <v>1144</v>
      </c>
      <c r="E591" s="127"/>
      <c r="F591" s="127"/>
      <c r="G591" s="19" t="s">
        <v>7</v>
      </c>
      <c r="H591" s="127" t="s">
        <v>959</v>
      </c>
      <c r="I591" s="127"/>
      <c r="J591" s="19" t="s">
        <v>960</v>
      </c>
      <c r="K591" s="127" t="s">
        <v>961</v>
      </c>
      <c r="L591" s="127"/>
      <c r="M591" s="2"/>
      <c r="N591" s="2"/>
    </row>
    <row r="592" spans="1:14" ht="30" customHeight="1">
      <c r="A592" s="2"/>
      <c r="B592" s="2"/>
      <c r="C592" s="20" t="s">
        <v>822</v>
      </c>
      <c r="D592" s="126" t="s">
        <v>970</v>
      </c>
      <c r="E592" s="126"/>
      <c r="F592" s="126"/>
      <c r="G592" s="126"/>
      <c r="H592" s="126"/>
      <c r="I592" s="126"/>
      <c r="J592" s="126"/>
      <c r="K592" s="126"/>
      <c r="L592" s="126"/>
      <c r="M592" s="2"/>
      <c r="N592" s="2"/>
    </row>
    <row r="593" spans="1:14" ht="45" customHeight="1">
      <c r="A593" s="2"/>
      <c r="B593" s="2"/>
      <c r="C593" s="18" t="s">
        <v>1145</v>
      </c>
      <c r="D593" s="127" t="s">
        <v>1146</v>
      </c>
      <c r="E593" s="127"/>
      <c r="F593" s="127"/>
      <c r="G593" s="19" t="s">
        <v>7</v>
      </c>
      <c r="H593" s="127" t="s">
        <v>959</v>
      </c>
      <c r="I593" s="127"/>
      <c r="J593" s="19" t="s">
        <v>960</v>
      </c>
      <c r="K593" s="127" t="s">
        <v>961</v>
      </c>
      <c r="L593" s="127"/>
      <c r="M593" s="2"/>
      <c r="N593" s="2"/>
    </row>
    <row r="594" spans="1:14" ht="30" customHeight="1">
      <c r="A594" s="2"/>
      <c r="B594" s="2"/>
      <c r="C594" s="20" t="s">
        <v>822</v>
      </c>
      <c r="D594" s="126" t="s">
        <v>970</v>
      </c>
      <c r="E594" s="126"/>
      <c r="F594" s="126"/>
      <c r="G594" s="126"/>
      <c r="H594" s="126"/>
      <c r="I594" s="126"/>
      <c r="J594" s="126"/>
      <c r="K594" s="126"/>
      <c r="L594" s="126"/>
      <c r="M594" s="2"/>
      <c r="N594" s="2"/>
    </row>
    <row r="595" spans="1:14" ht="45" customHeight="1">
      <c r="A595" s="2"/>
      <c r="B595" s="2"/>
      <c r="C595" s="18" t="s">
        <v>1147</v>
      </c>
      <c r="D595" s="127" t="s">
        <v>1148</v>
      </c>
      <c r="E595" s="127"/>
      <c r="F595" s="127"/>
      <c r="G595" s="19" t="s">
        <v>7</v>
      </c>
      <c r="H595" s="127" t="s">
        <v>959</v>
      </c>
      <c r="I595" s="127"/>
      <c r="J595" s="19" t="s">
        <v>960</v>
      </c>
      <c r="K595" s="127" t="s">
        <v>961</v>
      </c>
      <c r="L595" s="127"/>
      <c r="M595" s="2"/>
      <c r="N595" s="2"/>
    </row>
    <row r="596" spans="1:14" ht="30" customHeight="1">
      <c r="A596" s="2"/>
      <c r="B596" s="2"/>
      <c r="C596" s="20" t="s">
        <v>822</v>
      </c>
      <c r="D596" s="126" t="s">
        <v>970</v>
      </c>
      <c r="E596" s="126"/>
      <c r="F596" s="126"/>
      <c r="G596" s="126"/>
      <c r="H596" s="126"/>
      <c r="I596" s="126"/>
      <c r="J596" s="126"/>
      <c r="K596" s="126"/>
      <c r="L596" s="126"/>
      <c r="M596" s="2"/>
      <c r="N596" s="2"/>
    </row>
    <row r="597" spans="1:14" ht="45" customHeight="1">
      <c r="A597" s="2"/>
      <c r="B597" s="2"/>
      <c r="C597" s="18" t="s">
        <v>1149</v>
      </c>
      <c r="D597" s="127" t="s">
        <v>1150</v>
      </c>
      <c r="E597" s="127"/>
      <c r="F597" s="127"/>
      <c r="G597" s="19" t="s">
        <v>7</v>
      </c>
      <c r="H597" s="127" t="s">
        <v>959</v>
      </c>
      <c r="I597" s="127"/>
      <c r="J597" s="19" t="s">
        <v>960</v>
      </c>
      <c r="K597" s="127" t="s">
        <v>961</v>
      </c>
      <c r="L597" s="127"/>
      <c r="M597" s="2"/>
      <c r="N597" s="2"/>
    </row>
    <row r="598" spans="1:14" ht="30" customHeight="1">
      <c r="A598" s="2"/>
      <c r="B598" s="2"/>
      <c r="C598" s="20" t="s">
        <v>822</v>
      </c>
      <c r="D598" s="126" t="s">
        <v>970</v>
      </c>
      <c r="E598" s="126"/>
      <c r="F598" s="126"/>
      <c r="G598" s="126"/>
      <c r="H598" s="126"/>
      <c r="I598" s="126"/>
      <c r="J598" s="126"/>
      <c r="K598" s="126"/>
      <c r="L598" s="126"/>
      <c r="M598" s="2"/>
      <c r="N598" s="2"/>
    </row>
    <row r="599" spans="1:14" ht="45" customHeight="1">
      <c r="A599" s="2"/>
      <c r="B599" s="2"/>
      <c r="C599" s="18" t="s">
        <v>1151</v>
      </c>
      <c r="D599" s="127" t="s">
        <v>1152</v>
      </c>
      <c r="E599" s="127"/>
      <c r="F599" s="127"/>
      <c r="G599" s="19" t="s">
        <v>7</v>
      </c>
      <c r="H599" s="127" t="s">
        <v>959</v>
      </c>
      <c r="I599" s="127"/>
      <c r="J599" s="19" t="s">
        <v>960</v>
      </c>
      <c r="K599" s="127" t="s">
        <v>961</v>
      </c>
      <c r="L599" s="127"/>
      <c r="M599" s="2"/>
      <c r="N599" s="2"/>
    </row>
    <row r="600" spans="1:14" ht="30" customHeight="1">
      <c r="A600" s="2"/>
      <c r="B600" s="2"/>
      <c r="C600" s="20" t="s">
        <v>822</v>
      </c>
      <c r="D600" s="126" t="s">
        <v>970</v>
      </c>
      <c r="E600" s="126"/>
      <c r="F600" s="126"/>
      <c r="G600" s="126"/>
      <c r="H600" s="126"/>
      <c r="I600" s="126"/>
      <c r="J600" s="126"/>
      <c r="K600" s="126"/>
      <c r="L600" s="126"/>
      <c r="M600" s="2"/>
      <c r="N600" s="2"/>
    </row>
    <row r="601" spans="1:14" ht="45" customHeight="1">
      <c r="A601" s="2"/>
      <c r="B601" s="2"/>
      <c r="C601" s="18" t="s">
        <v>1153</v>
      </c>
      <c r="D601" s="127" t="s">
        <v>1154</v>
      </c>
      <c r="E601" s="127"/>
      <c r="F601" s="127"/>
      <c r="G601" s="19" t="s">
        <v>7</v>
      </c>
      <c r="H601" s="127" t="s">
        <v>959</v>
      </c>
      <c r="I601" s="127"/>
      <c r="J601" s="19" t="s">
        <v>960</v>
      </c>
      <c r="K601" s="127" t="s">
        <v>961</v>
      </c>
      <c r="L601" s="127"/>
      <c r="M601" s="2"/>
      <c r="N601" s="2"/>
    </row>
    <row r="602" spans="1:14" ht="30" customHeight="1">
      <c r="A602" s="2"/>
      <c r="B602" s="2"/>
      <c r="C602" s="20" t="s">
        <v>822</v>
      </c>
      <c r="D602" s="126" t="s">
        <v>970</v>
      </c>
      <c r="E602" s="126"/>
      <c r="F602" s="126"/>
      <c r="G602" s="126"/>
      <c r="H602" s="126"/>
      <c r="I602" s="126"/>
      <c r="J602" s="126"/>
      <c r="K602" s="126"/>
      <c r="L602" s="126"/>
      <c r="M602" s="2"/>
      <c r="N602" s="2"/>
    </row>
    <row r="603" spans="1:14" ht="45" customHeight="1">
      <c r="A603" s="2"/>
      <c r="B603" s="2"/>
      <c r="C603" s="18" t="s">
        <v>1155</v>
      </c>
      <c r="D603" s="127" t="s">
        <v>1156</v>
      </c>
      <c r="E603" s="127"/>
      <c r="F603" s="127"/>
      <c r="G603" s="19" t="s">
        <v>7</v>
      </c>
      <c r="H603" s="127" t="s">
        <v>959</v>
      </c>
      <c r="I603" s="127"/>
      <c r="J603" s="19" t="s">
        <v>960</v>
      </c>
      <c r="K603" s="127" t="s">
        <v>961</v>
      </c>
      <c r="L603" s="127"/>
      <c r="M603" s="2"/>
      <c r="N603" s="2"/>
    </row>
    <row r="604" spans="1:14" ht="30" customHeight="1">
      <c r="A604" s="2"/>
      <c r="B604" s="2"/>
      <c r="C604" s="20" t="s">
        <v>822</v>
      </c>
      <c r="D604" s="126" t="s">
        <v>970</v>
      </c>
      <c r="E604" s="126"/>
      <c r="F604" s="126"/>
      <c r="G604" s="126"/>
      <c r="H604" s="126"/>
      <c r="I604" s="126"/>
      <c r="J604" s="126"/>
      <c r="K604" s="126"/>
      <c r="L604" s="126"/>
      <c r="M604" s="2"/>
      <c r="N604" s="2"/>
    </row>
    <row r="605" spans="1:14" ht="45" customHeight="1">
      <c r="A605" s="2"/>
      <c r="B605" s="2"/>
      <c r="C605" s="18" t="s">
        <v>1157</v>
      </c>
      <c r="D605" s="127" t="s">
        <v>1158</v>
      </c>
      <c r="E605" s="127"/>
      <c r="F605" s="127"/>
      <c r="G605" s="19" t="s">
        <v>7</v>
      </c>
      <c r="H605" s="127" t="s">
        <v>959</v>
      </c>
      <c r="I605" s="127"/>
      <c r="J605" s="19" t="s">
        <v>960</v>
      </c>
      <c r="K605" s="127" t="s">
        <v>961</v>
      </c>
      <c r="L605" s="127"/>
      <c r="M605" s="2"/>
      <c r="N605" s="2"/>
    </row>
    <row r="606" spans="1:14" ht="30" customHeight="1">
      <c r="A606" s="2"/>
      <c r="B606" s="2"/>
      <c r="C606" s="20" t="s">
        <v>822</v>
      </c>
      <c r="D606" s="126" t="s">
        <v>970</v>
      </c>
      <c r="E606" s="126"/>
      <c r="F606" s="126"/>
      <c r="G606" s="126"/>
      <c r="H606" s="126"/>
      <c r="I606" s="126"/>
      <c r="J606" s="126"/>
      <c r="K606" s="126"/>
      <c r="L606" s="126"/>
      <c r="M606" s="2"/>
      <c r="N606" s="2"/>
    </row>
    <row r="607" spans="1:14" ht="45" customHeight="1">
      <c r="A607" s="2"/>
      <c r="B607" s="2"/>
      <c r="C607" s="18" t="s">
        <v>1159</v>
      </c>
      <c r="D607" s="127" t="s">
        <v>1160</v>
      </c>
      <c r="E607" s="127"/>
      <c r="F607" s="127"/>
      <c r="G607" s="19" t="s">
        <v>7</v>
      </c>
      <c r="H607" s="127" t="s">
        <v>959</v>
      </c>
      <c r="I607" s="127"/>
      <c r="J607" s="19" t="s">
        <v>960</v>
      </c>
      <c r="K607" s="127" t="s">
        <v>961</v>
      </c>
      <c r="L607" s="127"/>
      <c r="M607" s="2"/>
      <c r="N607" s="2"/>
    </row>
    <row r="608" spans="1:14" ht="30" customHeight="1">
      <c r="A608" s="2"/>
      <c r="B608" s="2"/>
      <c r="C608" s="20" t="s">
        <v>822</v>
      </c>
      <c r="D608" s="126" t="s">
        <v>970</v>
      </c>
      <c r="E608" s="126"/>
      <c r="F608" s="126"/>
      <c r="G608" s="126"/>
      <c r="H608" s="126"/>
      <c r="I608" s="126"/>
      <c r="J608" s="126"/>
      <c r="K608" s="126"/>
      <c r="L608" s="126"/>
      <c r="M608" s="2"/>
      <c r="N608" s="2"/>
    </row>
    <row r="609" spans="1:14" ht="45" customHeight="1">
      <c r="A609" s="2"/>
      <c r="B609" s="2"/>
      <c r="C609" s="18" t="s">
        <v>1161</v>
      </c>
      <c r="D609" s="127" t="s">
        <v>1162</v>
      </c>
      <c r="E609" s="127"/>
      <c r="F609" s="127"/>
      <c r="G609" s="19" t="s">
        <v>7</v>
      </c>
      <c r="H609" s="127" t="s">
        <v>959</v>
      </c>
      <c r="I609" s="127"/>
      <c r="J609" s="19" t="s">
        <v>960</v>
      </c>
      <c r="K609" s="127" t="s">
        <v>961</v>
      </c>
      <c r="L609" s="127"/>
      <c r="M609" s="2"/>
      <c r="N609" s="2"/>
    </row>
    <row r="610" spans="1:14" ht="30" customHeight="1">
      <c r="A610" s="2"/>
      <c r="B610" s="2"/>
      <c r="C610" s="20" t="s">
        <v>822</v>
      </c>
      <c r="D610" s="126" t="s">
        <v>970</v>
      </c>
      <c r="E610" s="126"/>
      <c r="F610" s="126"/>
      <c r="G610" s="126"/>
      <c r="H610" s="126"/>
      <c r="I610" s="126"/>
      <c r="J610" s="126"/>
      <c r="K610" s="126"/>
      <c r="L610" s="126"/>
      <c r="M610" s="2"/>
      <c r="N610" s="2"/>
    </row>
    <row r="611" spans="1:14" ht="45" customHeight="1">
      <c r="A611" s="2"/>
      <c r="B611" s="2"/>
      <c r="C611" s="18" t="s">
        <v>1163</v>
      </c>
      <c r="D611" s="127" t="s">
        <v>1164</v>
      </c>
      <c r="E611" s="127"/>
      <c r="F611" s="127"/>
      <c r="G611" s="19" t="s">
        <v>7</v>
      </c>
      <c r="H611" s="127" t="s">
        <v>959</v>
      </c>
      <c r="I611" s="127"/>
      <c r="J611" s="19" t="s">
        <v>960</v>
      </c>
      <c r="K611" s="127" t="s">
        <v>961</v>
      </c>
      <c r="L611" s="127"/>
      <c r="M611" s="2"/>
      <c r="N611" s="2"/>
    </row>
    <row r="612" spans="1:14" ht="30" customHeight="1">
      <c r="A612" s="2"/>
      <c r="B612" s="2"/>
      <c r="C612" s="20" t="s">
        <v>822</v>
      </c>
      <c r="D612" s="126" t="s">
        <v>970</v>
      </c>
      <c r="E612" s="126"/>
      <c r="F612" s="126"/>
      <c r="G612" s="126"/>
      <c r="H612" s="126"/>
      <c r="I612" s="126"/>
      <c r="J612" s="126"/>
      <c r="K612" s="126"/>
      <c r="L612" s="126"/>
      <c r="M612" s="2"/>
      <c r="N612" s="2"/>
    </row>
    <row r="613" spans="1:14" ht="45" customHeight="1">
      <c r="A613" s="2"/>
      <c r="B613" s="2"/>
      <c r="C613" s="18" t="s">
        <v>1165</v>
      </c>
      <c r="D613" s="127" t="s">
        <v>1166</v>
      </c>
      <c r="E613" s="127"/>
      <c r="F613" s="127"/>
      <c r="G613" s="19" t="s">
        <v>7</v>
      </c>
      <c r="H613" s="127" t="s">
        <v>959</v>
      </c>
      <c r="I613" s="127"/>
      <c r="J613" s="19" t="s">
        <v>960</v>
      </c>
      <c r="K613" s="127" t="s">
        <v>961</v>
      </c>
      <c r="L613" s="127"/>
      <c r="M613" s="2"/>
      <c r="N613" s="2"/>
    </row>
    <row r="614" spans="1:14" ht="30" customHeight="1">
      <c r="A614" s="2"/>
      <c r="B614" s="2"/>
      <c r="C614" s="20" t="s">
        <v>822</v>
      </c>
      <c r="D614" s="126" t="s">
        <v>970</v>
      </c>
      <c r="E614" s="126"/>
      <c r="F614" s="126"/>
      <c r="G614" s="126"/>
      <c r="H614" s="126"/>
      <c r="I614" s="126"/>
      <c r="J614" s="126"/>
      <c r="K614" s="126"/>
      <c r="L614" s="126"/>
      <c r="M614" s="2"/>
      <c r="N614" s="2"/>
    </row>
    <row r="615" spans="1:14" ht="45" customHeight="1">
      <c r="A615" s="2"/>
      <c r="B615" s="2"/>
      <c r="C615" s="18" t="s">
        <v>1167</v>
      </c>
      <c r="D615" s="127" t="s">
        <v>1168</v>
      </c>
      <c r="E615" s="127"/>
      <c r="F615" s="127"/>
      <c r="G615" s="19" t="s">
        <v>7</v>
      </c>
      <c r="H615" s="127" t="s">
        <v>959</v>
      </c>
      <c r="I615" s="127"/>
      <c r="J615" s="19" t="s">
        <v>960</v>
      </c>
      <c r="K615" s="127" t="s">
        <v>961</v>
      </c>
      <c r="L615" s="127"/>
      <c r="M615" s="2"/>
      <c r="N615" s="2"/>
    </row>
    <row r="616" spans="1:14" ht="30" customHeight="1">
      <c r="A616" s="2"/>
      <c r="B616" s="2"/>
      <c r="C616" s="20" t="s">
        <v>822</v>
      </c>
      <c r="D616" s="126" t="s">
        <v>970</v>
      </c>
      <c r="E616" s="126"/>
      <c r="F616" s="126"/>
      <c r="G616" s="126"/>
      <c r="H616" s="126"/>
      <c r="I616" s="126"/>
      <c r="J616" s="126"/>
      <c r="K616" s="126"/>
      <c r="L616" s="126"/>
      <c r="M616" s="2"/>
      <c r="N616" s="2"/>
    </row>
    <row r="617" spans="1:14" ht="45" customHeight="1">
      <c r="A617" s="2"/>
      <c r="B617" s="2"/>
      <c r="C617" s="18" t="s">
        <v>1169</v>
      </c>
      <c r="D617" s="127" t="s">
        <v>1170</v>
      </c>
      <c r="E617" s="127"/>
      <c r="F617" s="127"/>
      <c r="G617" s="19" t="s">
        <v>7</v>
      </c>
      <c r="H617" s="127" t="s">
        <v>959</v>
      </c>
      <c r="I617" s="127"/>
      <c r="J617" s="19" t="s">
        <v>960</v>
      </c>
      <c r="K617" s="127" t="s">
        <v>961</v>
      </c>
      <c r="L617" s="127"/>
      <c r="M617" s="2"/>
      <c r="N617" s="2"/>
    </row>
    <row r="618" spans="1:14" ht="30" customHeight="1">
      <c r="A618" s="2"/>
      <c r="B618" s="2"/>
      <c r="C618" s="20" t="s">
        <v>822</v>
      </c>
      <c r="D618" s="126" t="s">
        <v>970</v>
      </c>
      <c r="E618" s="126"/>
      <c r="F618" s="126"/>
      <c r="G618" s="126"/>
      <c r="H618" s="126"/>
      <c r="I618" s="126"/>
      <c r="J618" s="126"/>
      <c r="K618" s="126"/>
      <c r="L618" s="126"/>
      <c r="M618" s="2"/>
      <c r="N618" s="2"/>
    </row>
    <row r="619" spans="1:14" ht="45" customHeight="1">
      <c r="A619" s="2"/>
      <c r="B619" s="2"/>
      <c r="C619" s="18" t="s">
        <v>1171</v>
      </c>
      <c r="D619" s="127" t="s">
        <v>1172</v>
      </c>
      <c r="E619" s="127"/>
      <c r="F619" s="127"/>
      <c r="G619" s="19" t="s">
        <v>7</v>
      </c>
      <c r="H619" s="127" t="s">
        <v>959</v>
      </c>
      <c r="I619" s="127"/>
      <c r="J619" s="19" t="s">
        <v>960</v>
      </c>
      <c r="K619" s="127" t="s">
        <v>961</v>
      </c>
      <c r="L619" s="127"/>
      <c r="M619" s="2"/>
      <c r="N619" s="2"/>
    </row>
    <row r="620" spans="1:14" ht="30" customHeight="1">
      <c r="A620" s="2"/>
      <c r="B620" s="2"/>
      <c r="C620" s="20" t="s">
        <v>822</v>
      </c>
      <c r="D620" s="126" t="s">
        <v>970</v>
      </c>
      <c r="E620" s="126"/>
      <c r="F620" s="126"/>
      <c r="G620" s="126"/>
      <c r="H620" s="126"/>
      <c r="I620" s="126"/>
      <c r="J620" s="126"/>
      <c r="K620" s="126"/>
      <c r="L620" s="126"/>
      <c r="M620" s="2"/>
      <c r="N620" s="2"/>
    </row>
    <row r="621" spans="1:14" ht="45" customHeight="1">
      <c r="A621" s="2"/>
      <c r="B621" s="2"/>
      <c r="C621" s="18" t="s">
        <v>1173</v>
      </c>
      <c r="D621" s="127" t="s">
        <v>1174</v>
      </c>
      <c r="E621" s="127"/>
      <c r="F621" s="127"/>
      <c r="G621" s="19" t="s">
        <v>7</v>
      </c>
      <c r="H621" s="127" t="s">
        <v>959</v>
      </c>
      <c r="I621" s="127"/>
      <c r="J621" s="19" t="s">
        <v>960</v>
      </c>
      <c r="K621" s="127" t="s">
        <v>961</v>
      </c>
      <c r="L621" s="127"/>
      <c r="M621" s="2"/>
      <c r="N621" s="2"/>
    </row>
    <row r="622" spans="1:14" ht="30" customHeight="1">
      <c r="A622" s="2"/>
      <c r="B622" s="2"/>
      <c r="C622" s="20" t="s">
        <v>822</v>
      </c>
      <c r="D622" s="126" t="s">
        <v>970</v>
      </c>
      <c r="E622" s="126"/>
      <c r="F622" s="126"/>
      <c r="G622" s="126"/>
      <c r="H622" s="126"/>
      <c r="I622" s="126"/>
      <c r="J622" s="126"/>
      <c r="K622" s="126"/>
      <c r="L622" s="126"/>
      <c r="M622" s="2"/>
      <c r="N622" s="2"/>
    </row>
    <row r="623" spans="1:14" ht="45" customHeight="1">
      <c r="A623" s="2"/>
      <c r="B623" s="2"/>
      <c r="C623" s="18" t="s">
        <v>1175</v>
      </c>
      <c r="D623" s="127" t="s">
        <v>1176</v>
      </c>
      <c r="E623" s="127"/>
      <c r="F623" s="127"/>
      <c r="G623" s="19" t="s">
        <v>7</v>
      </c>
      <c r="H623" s="127" t="s">
        <v>959</v>
      </c>
      <c r="I623" s="127"/>
      <c r="J623" s="19" t="s">
        <v>960</v>
      </c>
      <c r="K623" s="127" t="s">
        <v>961</v>
      </c>
      <c r="L623" s="127"/>
      <c r="M623" s="2"/>
      <c r="N623" s="2"/>
    </row>
    <row r="624" spans="1:14" ht="30" customHeight="1">
      <c r="A624" s="2"/>
      <c r="B624" s="2"/>
      <c r="C624" s="20" t="s">
        <v>822</v>
      </c>
      <c r="D624" s="126" t="s">
        <v>970</v>
      </c>
      <c r="E624" s="126"/>
      <c r="F624" s="126"/>
      <c r="G624" s="126"/>
      <c r="H624" s="126"/>
      <c r="I624" s="126"/>
      <c r="J624" s="126"/>
      <c r="K624" s="126"/>
      <c r="L624" s="126"/>
      <c r="M624" s="2"/>
      <c r="N624" s="2"/>
    </row>
    <row r="625" spans="1:14" ht="45" customHeight="1">
      <c r="A625" s="2"/>
      <c r="B625" s="2"/>
      <c r="C625" s="18" t="s">
        <v>1177</v>
      </c>
      <c r="D625" s="127" t="s">
        <v>1178</v>
      </c>
      <c r="E625" s="127"/>
      <c r="F625" s="127"/>
      <c r="G625" s="19" t="s">
        <v>7</v>
      </c>
      <c r="H625" s="127" t="s">
        <v>989</v>
      </c>
      <c r="I625" s="127"/>
      <c r="J625" s="19" t="s">
        <v>960</v>
      </c>
      <c r="K625" s="127" t="s">
        <v>961</v>
      </c>
      <c r="L625" s="127"/>
      <c r="M625" s="2"/>
      <c r="N625" s="2"/>
    </row>
    <row r="626" spans="1:14" ht="30" customHeight="1">
      <c r="A626" s="2"/>
      <c r="B626" s="2"/>
      <c r="C626" s="20" t="s">
        <v>822</v>
      </c>
      <c r="D626" s="126" t="s">
        <v>970</v>
      </c>
      <c r="E626" s="126"/>
      <c r="F626" s="126"/>
      <c r="G626" s="126"/>
      <c r="H626" s="126"/>
      <c r="I626" s="126"/>
      <c r="J626" s="126"/>
      <c r="K626" s="126"/>
      <c r="L626" s="126"/>
      <c r="M626" s="2"/>
      <c r="N626" s="2"/>
    </row>
    <row r="627" spans="1:14" ht="45" customHeight="1">
      <c r="A627" s="2"/>
      <c r="B627" s="2"/>
      <c r="C627" s="18" t="s">
        <v>118</v>
      </c>
      <c r="D627" s="127" t="s">
        <v>1179</v>
      </c>
      <c r="E627" s="127"/>
      <c r="F627" s="127"/>
      <c r="G627" s="19" t="s">
        <v>7</v>
      </c>
      <c r="H627" s="127" t="s">
        <v>959</v>
      </c>
      <c r="I627" s="127"/>
      <c r="J627" s="19" t="s">
        <v>960</v>
      </c>
      <c r="K627" s="127" t="s">
        <v>961</v>
      </c>
      <c r="L627" s="127"/>
      <c r="M627" s="2"/>
      <c r="N627" s="2"/>
    </row>
    <row r="628" spans="1:14" ht="30" customHeight="1">
      <c r="A628" s="2"/>
      <c r="B628" s="2"/>
      <c r="C628" s="20" t="s">
        <v>822</v>
      </c>
      <c r="D628" s="126" t="s">
        <v>1180</v>
      </c>
      <c r="E628" s="126"/>
      <c r="F628" s="126"/>
      <c r="G628" s="126"/>
      <c r="H628" s="126"/>
      <c r="I628" s="126"/>
      <c r="J628" s="126"/>
      <c r="K628" s="126"/>
      <c r="L628" s="126"/>
      <c r="M628" s="2"/>
      <c r="N628" s="2"/>
    </row>
    <row r="629" spans="1:14" ht="45" customHeight="1">
      <c r="A629" s="2"/>
      <c r="B629" s="2"/>
      <c r="C629" s="18" t="s">
        <v>1181</v>
      </c>
      <c r="D629" s="127" t="s">
        <v>1182</v>
      </c>
      <c r="E629" s="127"/>
      <c r="F629" s="127"/>
      <c r="G629" s="19" t="s">
        <v>7</v>
      </c>
      <c r="H629" s="127" t="s">
        <v>989</v>
      </c>
      <c r="I629" s="127"/>
      <c r="J629" s="19" t="s">
        <v>960</v>
      </c>
      <c r="K629" s="127" t="s">
        <v>961</v>
      </c>
      <c r="L629" s="127"/>
      <c r="M629" s="2"/>
      <c r="N629" s="2"/>
    </row>
    <row r="630" spans="1:14" ht="30" customHeight="1">
      <c r="A630" s="2"/>
      <c r="B630" s="2"/>
      <c r="C630" s="20" t="s">
        <v>822</v>
      </c>
      <c r="D630" s="126" t="s">
        <v>970</v>
      </c>
      <c r="E630" s="126"/>
      <c r="F630" s="126"/>
      <c r="G630" s="126"/>
      <c r="H630" s="126"/>
      <c r="I630" s="126"/>
      <c r="J630" s="126"/>
      <c r="K630" s="126"/>
      <c r="L630" s="126"/>
      <c r="M630" s="2"/>
      <c r="N630" s="2"/>
    </row>
    <row r="631" spans="1:14" ht="45" customHeight="1">
      <c r="A631" s="2"/>
      <c r="B631" s="2"/>
      <c r="C631" s="18" t="s">
        <v>1183</v>
      </c>
      <c r="D631" s="127" t="s">
        <v>1184</v>
      </c>
      <c r="E631" s="127"/>
      <c r="F631" s="127"/>
      <c r="G631" s="19" t="s">
        <v>7</v>
      </c>
      <c r="H631" s="127" t="s">
        <v>989</v>
      </c>
      <c r="I631" s="127"/>
      <c r="J631" s="19" t="s">
        <v>960</v>
      </c>
      <c r="K631" s="127" t="s">
        <v>961</v>
      </c>
      <c r="L631" s="127"/>
      <c r="M631" s="2"/>
      <c r="N631" s="2"/>
    </row>
    <row r="632" spans="1:14" ht="30" customHeight="1">
      <c r="A632" s="2"/>
      <c r="B632" s="2"/>
      <c r="C632" s="20" t="s">
        <v>822</v>
      </c>
      <c r="D632" s="126" t="s">
        <v>970</v>
      </c>
      <c r="E632" s="126"/>
      <c r="F632" s="126"/>
      <c r="G632" s="126"/>
      <c r="H632" s="126"/>
      <c r="I632" s="126"/>
      <c r="J632" s="126"/>
      <c r="K632" s="126"/>
      <c r="L632" s="126"/>
      <c r="M632" s="2"/>
      <c r="N632" s="2"/>
    </row>
    <row r="633" spans="1:14" ht="45" customHeight="1">
      <c r="A633" s="2"/>
      <c r="B633" s="2"/>
      <c r="C633" s="18" t="s">
        <v>1185</v>
      </c>
      <c r="D633" s="127" t="s">
        <v>1186</v>
      </c>
      <c r="E633" s="127"/>
      <c r="F633" s="127"/>
      <c r="G633" s="19" t="s">
        <v>7</v>
      </c>
      <c r="H633" s="127" t="s">
        <v>1097</v>
      </c>
      <c r="I633" s="127"/>
      <c r="J633" s="19" t="s">
        <v>1098</v>
      </c>
      <c r="K633" s="128" t="s">
        <v>1099</v>
      </c>
      <c r="L633" s="127"/>
      <c r="M633" s="2"/>
      <c r="N633" s="2"/>
    </row>
    <row r="634" spans="1:14" ht="30" customHeight="1">
      <c r="A634" s="2"/>
      <c r="B634" s="2"/>
      <c r="C634" s="20" t="s">
        <v>822</v>
      </c>
      <c r="D634" s="126" t="s">
        <v>970</v>
      </c>
      <c r="E634" s="126"/>
      <c r="F634" s="126"/>
      <c r="G634" s="126"/>
      <c r="H634" s="126"/>
      <c r="I634" s="126"/>
      <c r="J634" s="126"/>
      <c r="K634" s="126"/>
      <c r="L634" s="126"/>
      <c r="M634" s="2"/>
      <c r="N634" s="2"/>
    </row>
    <row r="635" spans="1:14" ht="45" customHeight="1">
      <c r="A635" s="2"/>
      <c r="B635" s="2"/>
      <c r="C635" s="18" t="s">
        <v>1187</v>
      </c>
      <c r="D635" s="127" t="s">
        <v>1188</v>
      </c>
      <c r="E635" s="127"/>
      <c r="F635" s="127"/>
      <c r="G635" s="19" t="s">
        <v>7</v>
      </c>
      <c r="H635" s="127" t="s">
        <v>1097</v>
      </c>
      <c r="I635" s="127"/>
      <c r="J635" s="19" t="s">
        <v>1098</v>
      </c>
      <c r="K635" s="128" t="s">
        <v>1099</v>
      </c>
      <c r="L635" s="127"/>
      <c r="M635" s="2"/>
      <c r="N635" s="2"/>
    </row>
    <row r="636" spans="1:14" ht="30" customHeight="1">
      <c r="A636" s="2"/>
      <c r="B636" s="2"/>
      <c r="C636" s="20" t="s">
        <v>822</v>
      </c>
      <c r="D636" s="126" t="s">
        <v>970</v>
      </c>
      <c r="E636" s="126"/>
      <c r="F636" s="126"/>
      <c r="G636" s="126"/>
      <c r="H636" s="126"/>
      <c r="I636" s="126"/>
      <c r="J636" s="126"/>
      <c r="K636" s="126"/>
      <c r="L636" s="126"/>
      <c r="M636" s="2"/>
      <c r="N636" s="2"/>
    </row>
    <row r="637" spans="1:14" ht="45" customHeight="1">
      <c r="A637" s="2"/>
      <c r="B637" s="2"/>
      <c r="C637" s="18" t="s">
        <v>80</v>
      </c>
      <c r="D637" s="127" t="s">
        <v>1189</v>
      </c>
      <c r="E637" s="127"/>
      <c r="F637" s="127"/>
      <c r="G637" s="19" t="s">
        <v>7</v>
      </c>
      <c r="H637" s="127" t="s">
        <v>1190</v>
      </c>
      <c r="I637" s="127"/>
      <c r="J637" s="19" t="s">
        <v>1191</v>
      </c>
      <c r="K637" s="128" t="s">
        <v>1099</v>
      </c>
      <c r="L637" s="127"/>
      <c r="M637" s="2"/>
      <c r="N637" s="2"/>
    </row>
    <row r="638" spans="1:14" ht="30" customHeight="1">
      <c r="A638" s="2"/>
      <c r="B638" s="2"/>
      <c r="C638" s="20" t="s">
        <v>822</v>
      </c>
      <c r="D638" s="126" t="s">
        <v>1192</v>
      </c>
      <c r="E638" s="126"/>
      <c r="F638" s="126"/>
      <c r="G638" s="126"/>
      <c r="H638" s="126"/>
      <c r="I638" s="126"/>
      <c r="J638" s="126"/>
      <c r="K638" s="126"/>
      <c r="L638" s="126"/>
      <c r="M638" s="2"/>
      <c r="N638" s="2"/>
    </row>
    <row r="639" spans="1:14" ht="45" customHeight="1">
      <c r="A639" s="2"/>
      <c r="B639" s="2"/>
      <c r="C639" s="18" t="s">
        <v>1193</v>
      </c>
      <c r="D639" s="127" t="s">
        <v>1194</v>
      </c>
      <c r="E639" s="127"/>
      <c r="F639" s="127"/>
      <c r="G639" s="19" t="s">
        <v>1195</v>
      </c>
      <c r="H639" s="127" t="s">
        <v>1196</v>
      </c>
      <c r="I639" s="127"/>
      <c r="J639" s="19" t="s">
        <v>1197</v>
      </c>
      <c r="K639" s="128" t="s">
        <v>1099</v>
      </c>
      <c r="L639" s="127"/>
      <c r="M639" s="2"/>
      <c r="N639" s="2"/>
    </row>
    <row r="640" spans="1:14" ht="30" customHeight="1">
      <c r="A640" s="2"/>
      <c r="B640" s="2"/>
      <c r="C640" s="20" t="s">
        <v>822</v>
      </c>
      <c r="D640" s="126" t="s">
        <v>1198</v>
      </c>
      <c r="E640" s="126"/>
      <c r="F640" s="126"/>
      <c r="G640" s="126"/>
      <c r="H640" s="126"/>
      <c r="I640" s="126"/>
      <c r="J640" s="126"/>
      <c r="K640" s="126"/>
      <c r="L640" s="126"/>
      <c r="M640" s="2"/>
      <c r="N640" s="2"/>
    </row>
    <row r="641" spans="1:14" ht="45" customHeight="1">
      <c r="A641" s="2"/>
      <c r="B641" s="2"/>
      <c r="C641" s="18" t="s">
        <v>1199</v>
      </c>
      <c r="D641" s="127" t="s">
        <v>1194</v>
      </c>
      <c r="E641" s="127"/>
      <c r="F641" s="127"/>
      <c r="G641" s="19" t="s">
        <v>26</v>
      </c>
      <c r="H641" s="127" t="s">
        <v>1196</v>
      </c>
      <c r="I641" s="127"/>
      <c r="J641" s="19" t="s">
        <v>1197</v>
      </c>
      <c r="K641" s="128" t="s">
        <v>1099</v>
      </c>
      <c r="L641" s="127"/>
      <c r="M641" s="2"/>
      <c r="N641" s="2"/>
    </row>
    <row r="642" spans="1:14" ht="30" customHeight="1">
      <c r="A642" s="2"/>
      <c r="B642" s="2"/>
      <c r="C642" s="20" t="s">
        <v>822</v>
      </c>
      <c r="D642" s="126" t="s">
        <v>1200</v>
      </c>
      <c r="E642" s="126"/>
      <c r="F642" s="126"/>
      <c r="G642" s="126"/>
      <c r="H642" s="126"/>
      <c r="I642" s="126"/>
      <c r="J642" s="126"/>
      <c r="K642" s="126"/>
      <c r="L642" s="126"/>
      <c r="M642" s="2"/>
      <c r="N642" s="2"/>
    </row>
    <row r="643" spans="1:14" ht="45" customHeight="1">
      <c r="A643" s="2"/>
      <c r="B643" s="2"/>
      <c r="C643" s="18" t="s">
        <v>1201</v>
      </c>
      <c r="D643" s="127" t="s">
        <v>1194</v>
      </c>
      <c r="E643" s="127"/>
      <c r="F643" s="127"/>
      <c r="G643" s="19" t="s">
        <v>27</v>
      </c>
      <c r="H643" s="127" t="s">
        <v>1196</v>
      </c>
      <c r="I643" s="127"/>
      <c r="J643" s="19" t="s">
        <v>1197</v>
      </c>
      <c r="K643" s="128" t="s">
        <v>1099</v>
      </c>
      <c r="L643" s="127"/>
      <c r="M643" s="2"/>
      <c r="N643" s="2"/>
    </row>
    <row r="644" spans="1:14" ht="30" customHeight="1">
      <c r="A644" s="2"/>
      <c r="B644" s="2"/>
      <c r="C644" s="20" t="s">
        <v>822</v>
      </c>
      <c r="D644" s="126" t="s">
        <v>1202</v>
      </c>
      <c r="E644" s="126"/>
      <c r="F644" s="126"/>
      <c r="G644" s="126"/>
      <c r="H644" s="126"/>
      <c r="I644" s="126"/>
      <c r="J644" s="126"/>
      <c r="K644" s="126"/>
      <c r="L644" s="126"/>
      <c r="M644" s="2"/>
      <c r="N644" s="2"/>
    </row>
    <row r="645" spans="1:14" ht="45" customHeight="1">
      <c r="A645" s="2"/>
      <c r="B645" s="2"/>
      <c r="C645" s="18" t="s">
        <v>1203</v>
      </c>
      <c r="D645" s="127" t="s">
        <v>1204</v>
      </c>
      <c r="E645" s="127"/>
      <c r="F645" s="127"/>
      <c r="G645" s="19" t="s">
        <v>28</v>
      </c>
      <c r="H645" s="127" t="s">
        <v>1196</v>
      </c>
      <c r="I645" s="127"/>
      <c r="J645" s="19" t="s">
        <v>1197</v>
      </c>
      <c r="K645" s="128" t="s">
        <v>1099</v>
      </c>
      <c r="L645" s="127"/>
      <c r="M645" s="2"/>
      <c r="N645" s="2"/>
    </row>
    <row r="646" spans="1:14" ht="30" customHeight="1">
      <c r="A646" s="2"/>
      <c r="B646" s="2"/>
      <c r="C646" s="20" t="s">
        <v>822</v>
      </c>
      <c r="D646" s="126" t="s">
        <v>1205</v>
      </c>
      <c r="E646" s="126"/>
      <c r="F646" s="126"/>
      <c r="G646" s="126"/>
      <c r="H646" s="126"/>
      <c r="I646" s="126"/>
      <c r="J646" s="126"/>
      <c r="K646" s="126"/>
      <c r="L646" s="126"/>
      <c r="M646" s="2"/>
      <c r="N646" s="2"/>
    </row>
    <row r="647" spans="1:14" ht="45" customHeight="1">
      <c r="A647" s="2"/>
      <c r="B647" s="2"/>
      <c r="C647" s="18" t="s">
        <v>1206</v>
      </c>
      <c r="D647" s="127" t="s">
        <v>1207</v>
      </c>
      <c r="E647" s="127"/>
      <c r="F647" s="127"/>
      <c r="G647" s="19" t="s">
        <v>1208</v>
      </c>
      <c r="H647" s="127" t="s">
        <v>1196</v>
      </c>
      <c r="I647" s="127"/>
      <c r="J647" s="19" t="s">
        <v>1197</v>
      </c>
      <c r="K647" s="128" t="s">
        <v>1099</v>
      </c>
      <c r="L647" s="127"/>
      <c r="M647" s="2"/>
      <c r="N647" s="2"/>
    </row>
    <row r="648" spans="1:14" ht="30" customHeight="1">
      <c r="A648" s="2"/>
      <c r="B648" s="2"/>
      <c r="C648" s="20" t="s">
        <v>822</v>
      </c>
      <c r="D648" s="126" t="s">
        <v>1209</v>
      </c>
      <c r="E648" s="126"/>
      <c r="F648" s="126"/>
      <c r="G648" s="126"/>
      <c r="H648" s="126"/>
      <c r="I648" s="126"/>
      <c r="J648" s="126"/>
      <c r="K648" s="126"/>
      <c r="L648" s="126"/>
      <c r="M648" s="2"/>
      <c r="N648" s="2"/>
    </row>
    <row r="649" spans="1:14" ht="45" customHeight="1">
      <c r="A649" s="2"/>
      <c r="B649" s="2"/>
      <c r="C649" s="18" t="s">
        <v>1210</v>
      </c>
      <c r="D649" s="127" t="s">
        <v>1211</v>
      </c>
      <c r="E649" s="127"/>
      <c r="F649" s="127"/>
      <c r="G649" s="19" t="s">
        <v>1208</v>
      </c>
      <c r="H649" s="127" t="s">
        <v>1196</v>
      </c>
      <c r="I649" s="127"/>
      <c r="J649" s="19" t="s">
        <v>1197</v>
      </c>
      <c r="K649" s="128" t="s">
        <v>1099</v>
      </c>
      <c r="L649" s="127"/>
      <c r="M649" s="2"/>
      <c r="N649" s="2"/>
    </row>
    <row r="650" spans="1:14" ht="30" customHeight="1">
      <c r="A650" s="2"/>
      <c r="B650" s="2"/>
      <c r="C650" s="20" t="s">
        <v>822</v>
      </c>
      <c r="D650" s="126" t="s">
        <v>1212</v>
      </c>
      <c r="E650" s="126"/>
      <c r="F650" s="126"/>
      <c r="G650" s="126"/>
      <c r="H650" s="126"/>
      <c r="I650" s="126"/>
      <c r="J650" s="126"/>
      <c r="K650" s="126"/>
      <c r="L650" s="126"/>
      <c r="M650" s="2"/>
      <c r="N650" s="2"/>
    </row>
    <row r="651" spans="1:14" ht="45" customHeight="1">
      <c r="A651" s="2"/>
      <c r="B651" s="2"/>
      <c r="C651" s="18" t="s">
        <v>1213</v>
      </c>
      <c r="D651" s="127" t="s">
        <v>1214</v>
      </c>
      <c r="E651" s="127"/>
      <c r="F651" s="127"/>
      <c r="G651" s="19" t="s">
        <v>1208</v>
      </c>
      <c r="H651" s="127" t="s">
        <v>1196</v>
      </c>
      <c r="I651" s="127"/>
      <c r="J651" s="19" t="s">
        <v>1197</v>
      </c>
      <c r="K651" s="128" t="s">
        <v>1099</v>
      </c>
      <c r="L651" s="127"/>
      <c r="M651" s="2"/>
      <c r="N651" s="2"/>
    </row>
    <row r="652" spans="1:14" ht="30" customHeight="1">
      <c r="A652" s="2"/>
      <c r="B652" s="2"/>
      <c r="C652" s="20" t="s">
        <v>822</v>
      </c>
      <c r="D652" s="126" t="s">
        <v>1215</v>
      </c>
      <c r="E652" s="126"/>
      <c r="F652" s="126"/>
      <c r="G652" s="126"/>
      <c r="H652" s="126"/>
      <c r="I652" s="126"/>
      <c r="J652" s="126"/>
      <c r="K652" s="126"/>
      <c r="L652" s="126"/>
      <c r="M652" s="2"/>
      <c r="N652" s="2"/>
    </row>
    <row r="653" spans="1:14" ht="45" customHeight="1">
      <c r="A653" s="2"/>
      <c r="B653" s="2"/>
      <c r="C653" s="18" t="s">
        <v>1216</v>
      </c>
      <c r="D653" s="127" t="s">
        <v>1217</v>
      </c>
      <c r="E653" s="127"/>
      <c r="F653" s="127"/>
      <c r="G653" s="19" t="s">
        <v>1208</v>
      </c>
      <c r="H653" s="127" t="s">
        <v>1196</v>
      </c>
      <c r="I653" s="127"/>
      <c r="J653" s="19" t="s">
        <v>1197</v>
      </c>
      <c r="K653" s="128" t="s">
        <v>1099</v>
      </c>
      <c r="L653" s="127"/>
      <c r="M653" s="2"/>
      <c r="N653" s="2"/>
    </row>
    <row r="654" spans="1:14" ht="30" customHeight="1">
      <c r="A654" s="2"/>
      <c r="B654" s="2"/>
      <c r="C654" s="20" t="s">
        <v>822</v>
      </c>
      <c r="D654" s="126" t="s">
        <v>1212</v>
      </c>
      <c r="E654" s="126"/>
      <c r="F654" s="126"/>
      <c r="G654" s="126"/>
      <c r="H654" s="126"/>
      <c r="I654" s="126"/>
      <c r="J654" s="126"/>
      <c r="K654" s="126"/>
      <c r="L654" s="126"/>
      <c r="M654" s="2"/>
      <c r="N654" s="2"/>
    </row>
    <row r="655" spans="1:14" ht="45" customHeight="1">
      <c r="A655" s="2"/>
      <c r="B655" s="2"/>
      <c r="C655" s="18" t="s">
        <v>1218</v>
      </c>
      <c r="D655" s="127" t="s">
        <v>1219</v>
      </c>
      <c r="E655" s="127"/>
      <c r="F655" s="127"/>
      <c r="G655" s="19" t="s">
        <v>1208</v>
      </c>
      <c r="H655" s="127" t="s">
        <v>1196</v>
      </c>
      <c r="I655" s="127"/>
      <c r="J655" s="19" t="s">
        <v>1197</v>
      </c>
      <c r="K655" s="128" t="s">
        <v>1099</v>
      </c>
      <c r="L655" s="127"/>
      <c r="M655" s="2"/>
      <c r="N655" s="2"/>
    </row>
    <row r="656" spans="1:14" ht="30" customHeight="1">
      <c r="A656" s="2"/>
      <c r="B656" s="2"/>
      <c r="C656" s="20" t="s">
        <v>822</v>
      </c>
      <c r="D656" s="126" t="s">
        <v>1220</v>
      </c>
      <c r="E656" s="126"/>
      <c r="F656" s="126"/>
      <c r="G656" s="126"/>
      <c r="H656" s="126"/>
      <c r="I656" s="126"/>
      <c r="J656" s="126"/>
      <c r="K656" s="126"/>
      <c r="L656" s="126"/>
      <c r="M656" s="2"/>
      <c r="N656" s="2"/>
    </row>
    <row r="657" spans="1:14" ht="45" customHeight="1">
      <c r="A657" s="2"/>
      <c r="B657" s="2"/>
      <c r="C657" s="18" t="s">
        <v>1221</v>
      </c>
      <c r="D657" s="127" t="s">
        <v>1222</v>
      </c>
      <c r="E657" s="127"/>
      <c r="F657" s="127"/>
      <c r="G657" s="19" t="s">
        <v>1208</v>
      </c>
      <c r="H657" s="127" t="s">
        <v>1196</v>
      </c>
      <c r="I657" s="127"/>
      <c r="J657" s="19" t="s">
        <v>1197</v>
      </c>
      <c r="K657" s="128" t="s">
        <v>1099</v>
      </c>
      <c r="L657" s="127"/>
      <c r="M657" s="2"/>
      <c r="N657" s="2"/>
    </row>
    <row r="658" spans="1:14" ht="30" customHeight="1">
      <c r="A658" s="2"/>
      <c r="B658" s="2"/>
      <c r="C658" s="20" t="s">
        <v>822</v>
      </c>
      <c r="D658" s="126" t="s">
        <v>1223</v>
      </c>
      <c r="E658" s="126"/>
      <c r="F658" s="126"/>
      <c r="G658" s="126"/>
      <c r="H658" s="126"/>
      <c r="I658" s="126"/>
      <c r="J658" s="126"/>
      <c r="K658" s="126"/>
      <c r="L658" s="126"/>
      <c r="M658" s="2"/>
      <c r="N658" s="2"/>
    </row>
    <row r="659" spans="1:14" ht="45" customHeight="1">
      <c r="A659" s="2"/>
      <c r="B659" s="2"/>
      <c r="C659" s="18" t="s">
        <v>1224</v>
      </c>
      <c r="D659" s="127" t="s">
        <v>1225</v>
      </c>
      <c r="E659" s="127"/>
      <c r="F659" s="127"/>
      <c r="G659" s="19" t="s">
        <v>1208</v>
      </c>
      <c r="H659" s="127" t="s">
        <v>1196</v>
      </c>
      <c r="I659" s="127"/>
      <c r="J659" s="19" t="s">
        <v>1197</v>
      </c>
      <c r="K659" s="128" t="s">
        <v>1099</v>
      </c>
      <c r="L659" s="127"/>
      <c r="M659" s="2"/>
      <c r="N659" s="2"/>
    </row>
    <row r="660" spans="1:14" ht="30" customHeight="1">
      <c r="A660" s="2"/>
      <c r="B660" s="2"/>
      <c r="C660" s="20" t="s">
        <v>822</v>
      </c>
      <c r="D660" s="126" t="s">
        <v>1212</v>
      </c>
      <c r="E660" s="126"/>
      <c r="F660" s="126"/>
      <c r="G660" s="126"/>
      <c r="H660" s="126"/>
      <c r="I660" s="126"/>
      <c r="J660" s="126"/>
      <c r="K660" s="126"/>
      <c r="L660" s="126"/>
      <c r="M660" s="2"/>
      <c r="N660" s="2"/>
    </row>
    <row r="661" spans="1:14" ht="45" customHeight="1">
      <c r="A661" s="2"/>
      <c r="B661" s="2"/>
      <c r="C661" s="18" t="s">
        <v>1226</v>
      </c>
      <c r="D661" s="127" t="s">
        <v>1227</v>
      </c>
      <c r="E661" s="127"/>
      <c r="F661" s="127"/>
      <c r="G661" s="19" t="s">
        <v>1195</v>
      </c>
      <c r="H661" s="127" t="s">
        <v>1196</v>
      </c>
      <c r="I661" s="127"/>
      <c r="J661" s="19" t="s">
        <v>1228</v>
      </c>
      <c r="K661" s="128" t="s">
        <v>1099</v>
      </c>
      <c r="L661" s="127"/>
      <c r="M661" s="2"/>
      <c r="N661" s="2"/>
    </row>
    <row r="662" spans="1:14" ht="30" customHeight="1">
      <c r="A662" s="2"/>
      <c r="B662" s="2"/>
      <c r="C662" s="20" t="s">
        <v>822</v>
      </c>
      <c r="D662" s="126" t="s">
        <v>1229</v>
      </c>
      <c r="E662" s="126"/>
      <c r="F662" s="126"/>
      <c r="G662" s="126"/>
      <c r="H662" s="126"/>
      <c r="I662" s="126"/>
      <c r="J662" s="126"/>
      <c r="K662" s="126"/>
      <c r="L662" s="126"/>
      <c r="M662" s="2"/>
      <c r="N662" s="2"/>
    </row>
    <row r="663" spans="1:14" ht="45" customHeight="1">
      <c r="A663" s="2"/>
      <c r="B663" s="2"/>
      <c r="C663" s="18" t="s">
        <v>1230</v>
      </c>
      <c r="D663" s="127" t="s">
        <v>1231</v>
      </c>
      <c r="E663" s="127"/>
      <c r="F663" s="127"/>
      <c r="G663" s="19" t="s">
        <v>26</v>
      </c>
      <c r="H663" s="127" t="s">
        <v>1196</v>
      </c>
      <c r="I663" s="127"/>
      <c r="J663" s="19" t="s">
        <v>1228</v>
      </c>
      <c r="K663" s="128" t="s">
        <v>1099</v>
      </c>
      <c r="L663" s="127"/>
      <c r="M663" s="2"/>
      <c r="N663" s="2"/>
    </row>
    <row r="664" spans="1:14" ht="30" customHeight="1">
      <c r="A664" s="2"/>
      <c r="B664" s="2"/>
      <c r="C664" s="20" t="s">
        <v>822</v>
      </c>
      <c r="D664" s="126" t="s">
        <v>1232</v>
      </c>
      <c r="E664" s="126"/>
      <c r="F664" s="126"/>
      <c r="G664" s="126"/>
      <c r="H664" s="126"/>
      <c r="I664" s="126"/>
      <c r="J664" s="126"/>
      <c r="K664" s="126"/>
      <c r="L664" s="126"/>
      <c r="M664" s="2"/>
      <c r="N664" s="2"/>
    </row>
    <row r="665" spans="1:14" ht="45" customHeight="1">
      <c r="A665" s="2"/>
      <c r="B665" s="2"/>
      <c r="C665" s="18" t="s">
        <v>1233</v>
      </c>
      <c r="D665" s="127" t="s">
        <v>1234</v>
      </c>
      <c r="E665" s="127"/>
      <c r="F665" s="127"/>
      <c r="G665" s="19" t="s">
        <v>27</v>
      </c>
      <c r="H665" s="127" t="s">
        <v>1196</v>
      </c>
      <c r="I665" s="127"/>
      <c r="J665" s="19" t="s">
        <v>1228</v>
      </c>
      <c r="K665" s="128" t="s">
        <v>1099</v>
      </c>
      <c r="L665" s="127"/>
      <c r="M665" s="2"/>
      <c r="N665" s="2"/>
    </row>
    <row r="666" spans="1:14" ht="30" customHeight="1">
      <c r="A666" s="2"/>
      <c r="B666" s="2"/>
      <c r="C666" s="20" t="s">
        <v>822</v>
      </c>
      <c r="D666" s="126" t="s">
        <v>1235</v>
      </c>
      <c r="E666" s="126"/>
      <c r="F666" s="126"/>
      <c r="G666" s="126"/>
      <c r="H666" s="126"/>
      <c r="I666" s="126"/>
      <c r="J666" s="126"/>
      <c r="K666" s="126"/>
      <c r="L666" s="126"/>
      <c r="M666" s="2"/>
      <c r="N666" s="2"/>
    </row>
    <row r="667" spans="1:14" ht="45" customHeight="1">
      <c r="A667" s="2"/>
      <c r="B667" s="2"/>
      <c r="C667" s="18" t="s">
        <v>1236</v>
      </c>
      <c r="D667" s="127" t="s">
        <v>1237</v>
      </c>
      <c r="E667" s="127"/>
      <c r="F667" s="127"/>
      <c r="G667" s="19" t="s">
        <v>1195</v>
      </c>
      <c r="H667" s="127" t="s">
        <v>1196</v>
      </c>
      <c r="I667" s="127"/>
      <c r="J667" s="19" t="s">
        <v>1238</v>
      </c>
      <c r="K667" s="128" t="s">
        <v>1099</v>
      </c>
      <c r="L667" s="127"/>
      <c r="M667" s="2"/>
      <c r="N667" s="2"/>
    </row>
    <row r="668" spans="1:14" ht="30" customHeight="1">
      <c r="A668" s="2"/>
      <c r="B668" s="2"/>
      <c r="C668" s="20" t="s">
        <v>822</v>
      </c>
      <c r="D668" s="126" t="s">
        <v>1239</v>
      </c>
      <c r="E668" s="126"/>
      <c r="F668" s="126"/>
      <c r="G668" s="126"/>
      <c r="H668" s="126"/>
      <c r="I668" s="126"/>
      <c r="J668" s="126"/>
      <c r="K668" s="126"/>
      <c r="L668" s="126"/>
      <c r="M668" s="2"/>
      <c r="N668" s="2"/>
    </row>
    <row r="669" spans="1:14" ht="45" customHeight="1">
      <c r="A669" s="2"/>
      <c r="B669" s="2"/>
      <c r="C669" s="18" t="s">
        <v>1240</v>
      </c>
      <c r="D669" s="127" t="s">
        <v>1237</v>
      </c>
      <c r="E669" s="127"/>
      <c r="F669" s="127"/>
      <c r="G669" s="19" t="s">
        <v>26</v>
      </c>
      <c r="H669" s="127" t="s">
        <v>1196</v>
      </c>
      <c r="I669" s="127"/>
      <c r="J669" s="19" t="s">
        <v>1241</v>
      </c>
      <c r="K669" s="128" t="s">
        <v>1099</v>
      </c>
      <c r="L669" s="127"/>
      <c r="M669" s="2"/>
      <c r="N669" s="2"/>
    </row>
    <row r="670" spans="1:14" ht="30" customHeight="1">
      <c r="A670" s="2"/>
      <c r="B670" s="2"/>
      <c r="C670" s="20" t="s">
        <v>822</v>
      </c>
      <c r="D670" s="126" t="s">
        <v>1242</v>
      </c>
      <c r="E670" s="126"/>
      <c r="F670" s="126"/>
      <c r="G670" s="126"/>
      <c r="H670" s="126"/>
      <c r="I670" s="126"/>
      <c r="J670" s="126"/>
      <c r="K670" s="126"/>
      <c r="L670" s="126"/>
      <c r="M670" s="2"/>
      <c r="N670" s="2"/>
    </row>
    <row r="671" spans="1:14" ht="45" customHeight="1">
      <c r="A671" s="2"/>
      <c r="B671" s="2"/>
      <c r="C671" s="18" t="s">
        <v>1243</v>
      </c>
      <c r="D671" s="127" t="s">
        <v>1237</v>
      </c>
      <c r="E671" s="127"/>
      <c r="F671" s="127"/>
      <c r="G671" s="19" t="s">
        <v>27</v>
      </c>
      <c r="H671" s="127" t="s">
        <v>1196</v>
      </c>
      <c r="I671" s="127"/>
      <c r="J671" s="19" t="s">
        <v>1244</v>
      </c>
      <c r="K671" s="128" t="s">
        <v>1099</v>
      </c>
      <c r="L671" s="127"/>
      <c r="M671" s="2"/>
      <c r="N671" s="2"/>
    </row>
    <row r="672" spans="1:14" ht="30" customHeight="1">
      <c r="A672" s="2"/>
      <c r="B672" s="2"/>
      <c r="C672" s="20" t="s">
        <v>822</v>
      </c>
      <c r="D672" s="126" t="s">
        <v>1245</v>
      </c>
      <c r="E672" s="126"/>
      <c r="F672" s="126"/>
      <c r="G672" s="126"/>
      <c r="H672" s="126"/>
      <c r="I672" s="126"/>
      <c r="J672" s="126"/>
      <c r="K672" s="126"/>
      <c r="L672" s="126"/>
      <c r="M672" s="2"/>
      <c r="N672" s="2"/>
    </row>
    <row r="673" spans="1:14" ht="45" customHeight="1">
      <c r="A673" s="2"/>
      <c r="B673" s="2"/>
      <c r="C673" s="18" t="s">
        <v>1246</v>
      </c>
      <c r="D673" s="127" t="s">
        <v>1247</v>
      </c>
      <c r="E673" s="127"/>
      <c r="F673" s="127"/>
      <c r="G673" s="19" t="s">
        <v>1195</v>
      </c>
      <c r="H673" s="127" t="s">
        <v>1196</v>
      </c>
      <c r="I673" s="127"/>
      <c r="J673" s="19" t="s">
        <v>1197</v>
      </c>
      <c r="K673" s="128" t="s">
        <v>1099</v>
      </c>
      <c r="L673" s="127"/>
      <c r="M673" s="2"/>
      <c r="N673" s="2"/>
    </row>
    <row r="674" spans="1:14" ht="30" customHeight="1">
      <c r="A674" s="2"/>
      <c r="B674" s="2"/>
      <c r="C674" s="20" t="s">
        <v>822</v>
      </c>
      <c r="D674" s="126" t="s">
        <v>1212</v>
      </c>
      <c r="E674" s="126"/>
      <c r="F674" s="126"/>
      <c r="G674" s="126"/>
      <c r="H674" s="126"/>
      <c r="I674" s="126"/>
      <c r="J674" s="126"/>
      <c r="K674" s="126"/>
      <c r="L674" s="126"/>
      <c r="M674" s="2"/>
      <c r="N674" s="2"/>
    </row>
    <row r="675" spans="1:14" ht="45" customHeight="1">
      <c r="A675" s="2"/>
      <c r="B675" s="2"/>
      <c r="C675" s="18" t="s">
        <v>1248</v>
      </c>
      <c r="D675" s="127" t="s">
        <v>1247</v>
      </c>
      <c r="E675" s="127"/>
      <c r="F675" s="127"/>
      <c r="G675" s="19" t="s">
        <v>26</v>
      </c>
      <c r="H675" s="127" t="s">
        <v>1196</v>
      </c>
      <c r="I675" s="127"/>
      <c r="J675" s="19" t="s">
        <v>1197</v>
      </c>
      <c r="K675" s="128" t="s">
        <v>1099</v>
      </c>
      <c r="L675" s="127"/>
      <c r="M675" s="2"/>
      <c r="N675" s="2"/>
    </row>
    <row r="676" spans="1:14" ht="30" customHeight="1">
      <c r="A676" s="2"/>
      <c r="B676" s="2"/>
      <c r="C676" s="20" t="s">
        <v>822</v>
      </c>
      <c r="D676" s="126" t="s">
        <v>1212</v>
      </c>
      <c r="E676" s="126"/>
      <c r="F676" s="126"/>
      <c r="G676" s="126"/>
      <c r="H676" s="126"/>
      <c r="I676" s="126"/>
      <c r="J676" s="126"/>
      <c r="K676" s="126"/>
      <c r="L676" s="126"/>
      <c r="M676" s="2"/>
      <c r="N676" s="2"/>
    </row>
    <row r="677" spans="1:14" ht="45" customHeight="1">
      <c r="A677" s="2"/>
      <c r="B677" s="2"/>
      <c r="C677" s="18" t="s">
        <v>1249</v>
      </c>
      <c r="D677" s="127" t="s">
        <v>1247</v>
      </c>
      <c r="E677" s="127"/>
      <c r="F677" s="127"/>
      <c r="G677" s="19" t="s">
        <v>27</v>
      </c>
      <c r="H677" s="127" t="s">
        <v>1196</v>
      </c>
      <c r="I677" s="127"/>
      <c r="J677" s="19" t="s">
        <v>1197</v>
      </c>
      <c r="K677" s="128" t="s">
        <v>1099</v>
      </c>
      <c r="L677" s="127"/>
      <c r="M677" s="2"/>
      <c r="N677" s="2"/>
    </row>
    <row r="678" spans="1:14" ht="30" customHeight="1">
      <c r="A678" s="2"/>
      <c r="B678" s="2"/>
      <c r="C678" s="20" t="s">
        <v>822</v>
      </c>
      <c r="D678" s="126" t="s">
        <v>1212</v>
      </c>
      <c r="E678" s="126"/>
      <c r="F678" s="126"/>
      <c r="G678" s="126"/>
      <c r="H678" s="126"/>
      <c r="I678" s="126"/>
      <c r="J678" s="126"/>
      <c r="K678" s="126"/>
      <c r="L678" s="126"/>
      <c r="M678" s="2"/>
      <c r="N678" s="2"/>
    </row>
    <row r="679" spans="1:14" ht="45" customHeight="1">
      <c r="A679" s="2"/>
      <c r="B679" s="2"/>
      <c r="C679" s="18" t="s">
        <v>1250</v>
      </c>
      <c r="D679" s="127" t="s">
        <v>1251</v>
      </c>
      <c r="E679" s="127"/>
      <c r="F679" s="127"/>
      <c r="G679" s="19" t="s">
        <v>1208</v>
      </c>
      <c r="H679" s="127" t="s">
        <v>1196</v>
      </c>
      <c r="I679" s="127"/>
      <c r="J679" s="19" t="s">
        <v>1197</v>
      </c>
      <c r="K679" s="128" t="s">
        <v>1099</v>
      </c>
      <c r="L679" s="127"/>
      <c r="M679" s="2"/>
      <c r="N679" s="2"/>
    </row>
    <row r="680" spans="1:14" ht="30" customHeight="1">
      <c r="A680" s="2"/>
      <c r="B680" s="2"/>
      <c r="C680" s="20" t="s">
        <v>822</v>
      </c>
      <c r="D680" s="126" t="s">
        <v>1212</v>
      </c>
      <c r="E680" s="126"/>
      <c r="F680" s="126"/>
      <c r="G680" s="126"/>
      <c r="H680" s="126"/>
      <c r="I680" s="126"/>
      <c r="J680" s="126"/>
      <c r="K680" s="126"/>
      <c r="L680" s="126"/>
      <c r="M680" s="2"/>
      <c r="N680" s="2"/>
    </row>
    <row r="681" spans="1:14" ht="45" customHeight="1">
      <c r="A681" s="2"/>
      <c r="B681" s="2"/>
      <c r="C681" s="18" t="s">
        <v>1252</v>
      </c>
      <c r="D681" s="127" t="s">
        <v>1253</v>
      </c>
      <c r="E681" s="127"/>
      <c r="F681" s="127"/>
      <c r="G681" s="19" t="s">
        <v>1208</v>
      </c>
      <c r="H681" s="127" t="s">
        <v>1196</v>
      </c>
      <c r="I681" s="127"/>
      <c r="J681" s="19" t="s">
        <v>1197</v>
      </c>
      <c r="K681" s="128" t="s">
        <v>1099</v>
      </c>
      <c r="L681" s="127"/>
      <c r="M681" s="2"/>
      <c r="N681" s="2"/>
    </row>
    <row r="682" spans="1:14" ht="30" customHeight="1">
      <c r="A682" s="2"/>
      <c r="B682" s="2"/>
      <c r="C682" s="20" t="s">
        <v>822</v>
      </c>
      <c r="D682" s="126" t="s">
        <v>1212</v>
      </c>
      <c r="E682" s="126"/>
      <c r="F682" s="126"/>
      <c r="G682" s="126"/>
      <c r="H682" s="126"/>
      <c r="I682" s="126"/>
      <c r="J682" s="126"/>
      <c r="K682" s="126"/>
      <c r="L682" s="126"/>
      <c r="M682" s="2"/>
      <c r="N682" s="2"/>
    </row>
    <row r="683" spans="1:14" ht="45" customHeight="1">
      <c r="A683" s="2"/>
      <c r="B683" s="2"/>
      <c r="C683" s="18" t="s">
        <v>1254</v>
      </c>
      <c r="D683" s="127" t="s">
        <v>1255</v>
      </c>
      <c r="E683" s="127"/>
      <c r="F683" s="127"/>
      <c r="G683" s="19" t="s">
        <v>1208</v>
      </c>
      <c r="H683" s="127" t="s">
        <v>1196</v>
      </c>
      <c r="I683" s="127"/>
      <c r="J683" s="19" t="s">
        <v>1197</v>
      </c>
      <c r="K683" s="128" t="s">
        <v>1099</v>
      </c>
      <c r="L683" s="127"/>
      <c r="M683" s="2"/>
      <c r="N683" s="2"/>
    </row>
    <row r="684" spans="1:14" ht="30" customHeight="1">
      <c r="A684" s="2"/>
      <c r="B684" s="2"/>
      <c r="C684" s="20" t="s">
        <v>822</v>
      </c>
      <c r="D684" s="126" t="s">
        <v>1212</v>
      </c>
      <c r="E684" s="126"/>
      <c r="F684" s="126"/>
      <c r="G684" s="126"/>
      <c r="H684" s="126"/>
      <c r="I684" s="126"/>
      <c r="J684" s="126"/>
      <c r="K684" s="126"/>
      <c r="L684" s="126"/>
      <c r="M684" s="2"/>
      <c r="N684" s="2"/>
    </row>
    <row r="685" spans="1:14" ht="45" customHeight="1">
      <c r="A685" s="2"/>
      <c r="B685" s="2"/>
      <c r="C685" s="18" t="s">
        <v>1256</v>
      </c>
      <c r="D685" s="127" t="s">
        <v>1257</v>
      </c>
      <c r="E685" s="127"/>
      <c r="F685" s="127"/>
      <c r="G685" s="19" t="s">
        <v>1208</v>
      </c>
      <c r="H685" s="127" t="s">
        <v>1196</v>
      </c>
      <c r="I685" s="127"/>
      <c r="J685" s="19" t="s">
        <v>1197</v>
      </c>
      <c r="K685" s="128" t="s">
        <v>1099</v>
      </c>
      <c r="L685" s="127"/>
      <c r="M685" s="2"/>
      <c r="N685" s="2"/>
    </row>
    <row r="686" spans="1:14" ht="30" customHeight="1">
      <c r="A686" s="2"/>
      <c r="B686" s="2"/>
      <c r="C686" s="20" t="s">
        <v>822</v>
      </c>
      <c r="D686" s="126" t="s">
        <v>1212</v>
      </c>
      <c r="E686" s="126"/>
      <c r="F686" s="126"/>
      <c r="G686" s="126"/>
      <c r="H686" s="126"/>
      <c r="I686" s="126"/>
      <c r="J686" s="126"/>
      <c r="K686" s="126"/>
      <c r="L686" s="126"/>
      <c r="M686" s="2"/>
      <c r="N686" s="2"/>
    </row>
    <row r="687" spans="1:14" ht="45" customHeight="1">
      <c r="A687" s="2"/>
      <c r="B687" s="2"/>
      <c r="C687" s="18" t="s">
        <v>1258</v>
      </c>
      <c r="D687" s="127" t="s">
        <v>1259</v>
      </c>
      <c r="E687" s="127"/>
      <c r="F687" s="127"/>
      <c r="G687" s="19" t="s">
        <v>1208</v>
      </c>
      <c r="H687" s="127" t="s">
        <v>1196</v>
      </c>
      <c r="I687" s="127"/>
      <c r="J687" s="19" t="s">
        <v>1197</v>
      </c>
      <c r="K687" s="128" t="s">
        <v>1099</v>
      </c>
      <c r="L687" s="127"/>
      <c r="M687" s="2"/>
      <c r="N687" s="2"/>
    </row>
    <row r="688" spans="1:14" ht="30" customHeight="1">
      <c r="A688" s="2"/>
      <c r="B688" s="2"/>
      <c r="C688" s="20" t="s">
        <v>822</v>
      </c>
      <c r="D688" s="126" t="s">
        <v>1212</v>
      </c>
      <c r="E688" s="126"/>
      <c r="F688" s="126"/>
      <c r="G688" s="126"/>
      <c r="H688" s="126"/>
      <c r="I688" s="126"/>
      <c r="J688" s="126"/>
      <c r="K688" s="126"/>
      <c r="L688" s="126"/>
      <c r="M688" s="2"/>
      <c r="N688" s="2"/>
    </row>
    <row r="689" spans="1:14" ht="45" customHeight="1">
      <c r="A689" s="2"/>
      <c r="B689" s="2"/>
      <c r="C689" s="18" t="s">
        <v>1260</v>
      </c>
      <c r="D689" s="127" t="s">
        <v>1261</v>
      </c>
      <c r="E689" s="127"/>
      <c r="F689" s="127"/>
      <c r="G689" s="19" t="s">
        <v>1208</v>
      </c>
      <c r="H689" s="127" t="s">
        <v>1196</v>
      </c>
      <c r="I689" s="127"/>
      <c r="J689" s="19" t="s">
        <v>1197</v>
      </c>
      <c r="K689" s="128" t="s">
        <v>1099</v>
      </c>
      <c r="L689" s="127"/>
      <c r="M689" s="2"/>
      <c r="N689" s="2"/>
    </row>
    <row r="690" spans="1:14" ht="30" customHeight="1">
      <c r="A690" s="2"/>
      <c r="B690" s="2"/>
      <c r="C690" s="20" t="s">
        <v>822</v>
      </c>
      <c r="D690" s="126" t="s">
        <v>1212</v>
      </c>
      <c r="E690" s="126"/>
      <c r="F690" s="126"/>
      <c r="G690" s="126"/>
      <c r="H690" s="126"/>
      <c r="I690" s="126"/>
      <c r="J690" s="126"/>
      <c r="K690" s="126"/>
      <c r="L690" s="126"/>
      <c r="M690" s="2"/>
      <c r="N690" s="2"/>
    </row>
    <row r="691" spans="1:14" ht="45" customHeight="1">
      <c r="A691" s="2"/>
      <c r="B691" s="2"/>
      <c r="C691" s="18" t="s">
        <v>1262</v>
      </c>
      <c r="D691" s="127" t="s">
        <v>1263</v>
      </c>
      <c r="E691" s="127"/>
      <c r="F691" s="127"/>
      <c r="G691" s="19" t="s">
        <v>1208</v>
      </c>
      <c r="H691" s="127" t="s">
        <v>1196</v>
      </c>
      <c r="I691" s="127"/>
      <c r="J691" s="19" t="s">
        <v>1197</v>
      </c>
      <c r="K691" s="128" t="s">
        <v>1099</v>
      </c>
      <c r="L691" s="127"/>
      <c r="M691" s="2"/>
      <c r="N691" s="2"/>
    </row>
    <row r="692" spans="1:14" ht="30" customHeight="1">
      <c r="A692" s="2"/>
      <c r="B692" s="2"/>
      <c r="C692" s="20" t="s">
        <v>822</v>
      </c>
      <c r="D692" s="126" t="s">
        <v>1212</v>
      </c>
      <c r="E692" s="126"/>
      <c r="F692" s="126"/>
      <c r="G692" s="126"/>
      <c r="H692" s="126"/>
      <c r="I692" s="126"/>
      <c r="J692" s="126"/>
      <c r="K692" s="126"/>
      <c r="L692" s="126"/>
      <c r="M692" s="2"/>
      <c r="N692" s="2"/>
    </row>
    <row r="693" spans="1:14" ht="45" customHeight="1">
      <c r="A693" s="2"/>
      <c r="B693" s="2"/>
      <c r="C693" s="18" t="s">
        <v>1264</v>
      </c>
      <c r="D693" s="127" t="s">
        <v>1265</v>
      </c>
      <c r="E693" s="127"/>
      <c r="F693" s="127"/>
      <c r="G693" s="19" t="s">
        <v>1208</v>
      </c>
      <c r="H693" s="127" t="s">
        <v>1196</v>
      </c>
      <c r="I693" s="127"/>
      <c r="J693" s="19" t="s">
        <v>1197</v>
      </c>
      <c r="K693" s="128" t="s">
        <v>1099</v>
      </c>
      <c r="L693" s="127"/>
      <c r="M693" s="2"/>
      <c r="N693" s="2"/>
    </row>
    <row r="694" spans="1:14" ht="30" customHeight="1">
      <c r="A694" s="2"/>
      <c r="B694" s="2"/>
      <c r="C694" s="20" t="s">
        <v>822</v>
      </c>
      <c r="D694" s="126" t="s">
        <v>1212</v>
      </c>
      <c r="E694" s="126"/>
      <c r="F694" s="126"/>
      <c r="G694" s="126"/>
      <c r="H694" s="126"/>
      <c r="I694" s="126"/>
      <c r="J694" s="126"/>
      <c r="K694" s="126"/>
      <c r="L694" s="126"/>
      <c r="M694" s="2"/>
      <c r="N694" s="2"/>
    </row>
    <row r="695" spans="1:14" ht="45" customHeight="1">
      <c r="A695" s="2"/>
      <c r="B695" s="2"/>
      <c r="C695" s="18" t="s">
        <v>1266</v>
      </c>
      <c r="D695" s="127" t="s">
        <v>1267</v>
      </c>
      <c r="E695" s="127"/>
      <c r="F695" s="127"/>
      <c r="G695" s="19" t="s">
        <v>1208</v>
      </c>
      <c r="H695" s="127" t="s">
        <v>1196</v>
      </c>
      <c r="I695" s="127"/>
      <c r="J695" s="19" t="s">
        <v>1197</v>
      </c>
      <c r="K695" s="128" t="s">
        <v>1099</v>
      </c>
      <c r="L695" s="127"/>
      <c r="M695" s="2"/>
      <c r="N695" s="2"/>
    </row>
    <row r="696" spans="1:14" ht="30" customHeight="1">
      <c r="A696" s="2"/>
      <c r="B696" s="2"/>
      <c r="C696" s="20" t="s">
        <v>822</v>
      </c>
      <c r="D696" s="126" t="s">
        <v>1212</v>
      </c>
      <c r="E696" s="126"/>
      <c r="F696" s="126"/>
      <c r="G696" s="126"/>
      <c r="H696" s="126"/>
      <c r="I696" s="126"/>
      <c r="J696" s="126"/>
      <c r="K696" s="126"/>
      <c r="L696" s="126"/>
      <c r="M696" s="2"/>
      <c r="N696" s="2"/>
    </row>
    <row r="697" spans="1:14" ht="45" customHeight="1">
      <c r="A697" s="2"/>
      <c r="B697" s="2"/>
      <c r="C697" s="18" t="s">
        <v>1268</v>
      </c>
      <c r="D697" s="127" t="s">
        <v>1269</v>
      </c>
      <c r="E697" s="127"/>
      <c r="F697" s="127"/>
      <c r="G697" s="19" t="s">
        <v>1208</v>
      </c>
      <c r="H697" s="127" t="s">
        <v>1196</v>
      </c>
      <c r="I697" s="127"/>
      <c r="J697" s="19" t="s">
        <v>1197</v>
      </c>
      <c r="K697" s="128" t="s">
        <v>1099</v>
      </c>
      <c r="L697" s="127"/>
      <c r="M697" s="2"/>
      <c r="N697" s="2"/>
    </row>
    <row r="698" spans="1:14" ht="30" customHeight="1">
      <c r="A698" s="2"/>
      <c r="B698" s="2"/>
      <c r="C698" s="20" t="s">
        <v>822</v>
      </c>
      <c r="D698" s="126" t="s">
        <v>1212</v>
      </c>
      <c r="E698" s="126"/>
      <c r="F698" s="126"/>
      <c r="G698" s="126"/>
      <c r="H698" s="126"/>
      <c r="I698" s="126"/>
      <c r="J698" s="126"/>
      <c r="K698" s="126"/>
      <c r="L698" s="126"/>
      <c r="M698" s="2"/>
      <c r="N698" s="2"/>
    </row>
    <row r="699" spans="1:14" ht="45" customHeight="1">
      <c r="A699" s="2"/>
      <c r="B699" s="2"/>
      <c r="C699" s="18" t="s">
        <v>1270</v>
      </c>
      <c r="D699" s="127" t="s">
        <v>1271</v>
      </c>
      <c r="E699" s="127"/>
      <c r="F699" s="127"/>
      <c r="G699" s="19" t="s">
        <v>1208</v>
      </c>
      <c r="H699" s="127" t="s">
        <v>1196</v>
      </c>
      <c r="I699" s="127"/>
      <c r="J699" s="19" t="s">
        <v>1197</v>
      </c>
      <c r="K699" s="128" t="s">
        <v>1099</v>
      </c>
      <c r="L699" s="127"/>
      <c r="M699" s="2"/>
      <c r="N699" s="2"/>
    </row>
    <row r="700" spans="1:14" ht="30" customHeight="1">
      <c r="A700" s="2"/>
      <c r="B700" s="2"/>
      <c r="C700" s="20" t="s">
        <v>822</v>
      </c>
      <c r="D700" s="126" t="s">
        <v>1212</v>
      </c>
      <c r="E700" s="126"/>
      <c r="F700" s="126"/>
      <c r="G700" s="126"/>
      <c r="H700" s="126"/>
      <c r="I700" s="126"/>
      <c r="J700" s="126"/>
      <c r="K700" s="126"/>
      <c r="L700" s="126"/>
      <c r="M700" s="2"/>
      <c r="N700" s="2"/>
    </row>
    <row r="701" spans="1:14" ht="45" customHeight="1">
      <c r="C701" s="21" t="s">
        <v>1272</v>
      </c>
      <c r="D701" s="124" t="s">
        <v>1195</v>
      </c>
      <c r="E701" s="124"/>
      <c r="F701" s="124"/>
      <c r="G701" s="21" t="s">
        <v>1208</v>
      </c>
      <c r="H701" s="124" t="s">
        <v>1196</v>
      </c>
      <c r="I701" s="124"/>
      <c r="J701" s="21" t="s">
        <v>1273</v>
      </c>
      <c r="K701" s="125" t="s">
        <v>1099</v>
      </c>
      <c r="L701" s="124"/>
    </row>
    <row r="702" spans="1:14" ht="30" customHeight="1">
      <c r="C702" s="20" t="s">
        <v>822</v>
      </c>
      <c r="D702" s="123" t="s">
        <v>1274</v>
      </c>
      <c r="E702" s="123"/>
      <c r="F702" s="123"/>
      <c r="G702" s="123"/>
      <c r="H702" s="123"/>
      <c r="I702" s="123"/>
      <c r="J702" s="123"/>
      <c r="K702" s="123"/>
      <c r="L702" s="123"/>
    </row>
    <row r="703" spans="1:14" ht="45" customHeight="1">
      <c r="C703" s="21" t="s">
        <v>1275</v>
      </c>
      <c r="D703" s="124" t="s">
        <v>26</v>
      </c>
      <c r="E703" s="124"/>
      <c r="F703" s="124"/>
      <c r="G703" s="21" t="s">
        <v>1208</v>
      </c>
      <c r="H703" s="124" t="s">
        <v>1196</v>
      </c>
      <c r="I703" s="124"/>
      <c r="J703" s="21" t="s">
        <v>1276</v>
      </c>
      <c r="K703" s="125" t="s">
        <v>1099</v>
      </c>
      <c r="L703" s="124"/>
    </row>
    <row r="704" spans="1:14" ht="30" customHeight="1">
      <c r="C704" s="20" t="s">
        <v>822</v>
      </c>
      <c r="D704" s="123" t="s">
        <v>1274</v>
      </c>
      <c r="E704" s="123"/>
      <c r="F704" s="123"/>
      <c r="G704" s="123"/>
      <c r="H704" s="123"/>
      <c r="I704" s="123"/>
      <c r="J704" s="123"/>
      <c r="K704" s="123"/>
      <c r="L704" s="123"/>
    </row>
    <row r="705" spans="3:12" ht="45" customHeight="1">
      <c r="C705" s="21" t="s">
        <v>1277</v>
      </c>
      <c r="D705" s="124" t="s">
        <v>27</v>
      </c>
      <c r="E705" s="124"/>
      <c r="F705" s="124"/>
      <c r="G705" s="21" t="s">
        <v>1208</v>
      </c>
      <c r="H705" s="124" t="s">
        <v>1196</v>
      </c>
      <c r="I705" s="124"/>
      <c r="J705" s="21" t="s">
        <v>1228</v>
      </c>
      <c r="K705" s="125" t="s">
        <v>1099</v>
      </c>
      <c r="L705" s="124"/>
    </row>
    <row r="706" spans="3:12" ht="30" customHeight="1">
      <c r="C706" s="20" t="s">
        <v>822</v>
      </c>
      <c r="D706" s="123" t="s">
        <v>1274</v>
      </c>
      <c r="E706" s="123"/>
      <c r="F706" s="123"/>
      <c r="G706" s="123"/>
      <c r="H706" s="123"/>
      <c r="I706" s="123"/>
      <c r="J706" s="123"/>
      <c r="K706" s="123"/>
      <c r="L706" s="123"/>
    </row>
    <row r="707" spans="3:12" ht="45" customHeight="1">
      <c r="C707" s="21" t="s">
        <v>1278</v>
      </c>
      <c r="D707" s="124" t="s">
        <v>1279</v>
      </c>
      <c r="E707" s="124"/>
      <c r="F707" s="124"/>
      <c r="G707" s="21" t="s">
        <v>1280</v>
      </c>
      <c r="H707" s="124" t="s">
        <v>1196</v>
      </c>
      <c r="I707" s="124"/>
      <c r="J707" s="21" t="s">
        <v>1197</v>
      </c>
      <c r="K707" s="125" t="s">
        <v>1099</v>
      </c>
      <c r="L707" s="124"/>
    </row>
    <row r="708" spans="3:12" ht="48" customHeight="1">
      <c r="C708" s="20" t="s">
        <v>822</v>
      </c>
      <c r="D708" s="123" t="s">
        <v>1281</v>
      </c>
      <c r="E708" s="123"/>
      <c r="F708" s="123"/>
      <c r="G708" s="123"/>
      <c r="H708" s="123"/>
      <c r="I708" s="123"/>
      <c r="J708" s="123"/>
      <c r="K708" s="123"/>
      <c r="L708" s="123"/>
    </row>
    <row r="709" spans="3:12" ht="45" customHeight="1">
      <c r="C709" s="21" t="s">
        <v>1282</v>
      </c>
      <c r="D709" s="124" t="s">
        <v>1283</v>
      </c>
      <c r="E709" s="124"/>
      <c r="F709" s="124"/>
      <c r="G709" s="21" t="s">
        <v>1284</v>
      </c>
      <c r="H709" s="124" t="s">
        <v>1196</v>
      </c>
      <c r="I709" s="124"/>
      <c r="J709" s="21" t="s">
        <v>1197</v>
      </c>
      <c r="K709" s="125" t="s">
        <v>1099</v>
      </c>
      <c r="L709" s="124"/>
    </row>
    <row r="710" spans="3:12" ht="30" customHeight="1">
      <c r="C710" s="20" t="s">
        <v>822</v>
      </c>
      <c r="D710" s="123" t="s">
        <v>1285</v>
      </c>
      <c r="E710" s="123"/>
      <c r="F710" s="123"/>
      <c r="G710" s="123"/>
      <c r="H710" s="123"/>
      <c r="I710" s="123"/>
      <c r="J710" s="123"/>
      <c r="K710" s="123"/>
      <c r="L710" s="123"/>
    </row>
    <row r="711" spans="3:12" ht="45" customHeight="1">
      <c r="C711" s="21" t="s">
        <v>1286</v>
      </c>
      <c r="D711" s="124" t="s">
        <v>1287</v>
      </c>
      <c r="E711" s="124"/>
      <c r="F711" s="124"/>
      <c r="G711" s="21" t="s">
        <v>1284</v>
      </c>
      <c r="H711" s="124" t="s">
        <v>1196</v>
      </c>
      <c r="I711" s="124"/>
      <c r="J711" s="21" t="s">
        <v>1197</v>
      </c>
      <c r="K711" s="125" t="s">
        <v>1099</v>
      </c>
      <c r="L711" s="124"/>
    </row>
    <row r="712" spans="3:12" ht="30" customHeight="1">
      <c r="C712" s="20" t="s">
        <v>822</v>
      </c>
      <c r="D712" s="123" t="s">
        <v>1288</v>
      </c>
      <c r="E712" s="123"/>
      <c r="F712" s="123"/>
      <c r="G712" s="123"/>
      <c r="H712" s="123"/>
      <c r="I712" s="123"/>
      <c r="J712" s="123"/>
      <c r="K712" s="123"/>
      <c r="L712" s="123"/>
    </row>
    <row r="713" spans="3:12" ht="45" customHeight="1">
      <c r="C713" s="21" t="s">
        <v>1289</v>
      </c>
      <c r="D713" s="124" t="s">
        <v>1290</v>
      </c>
      <c r="E713" s="124"/>
      <c r="F713" s="124"/>
      <c r="G713" s="21" t="s">
        <v>28</v>
      </c>
      <c r="H713" s="124" t="s">
        <v>1291</v>
      </c>
      <c r="I713" s="124"/>
      <c r="J713" s="21" t="s">
        <v>1292</v>
      </c>
      <c r="K713" s="125" t="s">
        <v>1099</v>
      </c>
      <c r="L713" s="124"/>
    </row>
    <row r="714" spans="3:12" ht="30" customHeight="1">
      <c r="C714" s="20" t="s">
        <v>822</v>
      </c>
      <c r="D714" s="123" t="s">
        <v>1293</v>
      </c>
      <c r="E714" s="123"/>
      <c r="F714" s="123"/>
      <c r="G714" s="123"/>
      <c r="H714" s="123"/>
      <c r="I714" s="123"/>
      <c r="J714" s="123"/>
      <c r="K714" s="123"/>
      <c r="L714" s="123"/>
    </row>
    <row r="715" spans="3:12" ht="45" customHeight="1">
      <c r="C715" s="21" t="s">
        <v>1294</v>
      </c>
      <c r="D715" s="124" t="s">
        <v>1295</v>
      </c>
      <c r="E715" s="124"/>
      <c r="F715" s="124"/>
      <c r="G715" s="21" t="s">
        <v>1280</v>
      </c>
      <c r="H715" s="124" t="s">
        <v>1296</v>
      </c>
      <c r="I715" s="124"/>
      <c r="J715" s="21" t="s">
        <v>1297</v>
      </c>
      <c r="K715" s="125" t="s">
        <v>1099</v>
      </c>
      <c r="L715" s="124"/>
    </row>
    <row r="716" spans="3:12" ht="30" customHeight="1">
      <c r="C716" s="20" t="s">
        <v>822</v>
      </c>
      <c r="D716" s="123" t="s">
        <v>1298</v>
      </c>
      <c r="E716" s="123"/>
      <c r="F716" s="123"/>
      <c r="G716" s="123"/>
      <c r="H716" s="123"/>
      <c r="I716" s="123"/>
      <c r="J716" s="123"/>
      <c r="K716" s="123"/>
      <c r="L716" s="123"/>
    </row>
    <row r="717" spans="3:12" ht="45" customHeight="1">
      <c r="C717" s="21" t="s">
        <v>1299</v>
      </c>
      <c r="D717" s="124" t="s">
        <v>1300</v>
      </c>
      <c r="E717" s="124"/>
      <c r="F717" s="124"/>
      <c r="G717" s="21" t="s">
        <v>7</v>
      </c>
      <c r="H717" s="124" t="s">
        <v>1301</v>
      </c>
      <c r="I717" s="124"/>
      <c r="J717" s="21" t="s">
        <v>1302</v>
      </c>
      <c r="K717" s="124" t="s">
        <v>961</v>
      </c>
      <c r="L717" s="124"/>
    </row>
    <row r="718" spans="3:12" ht="30" customHeight="1">
      <c r="C718" s="20" t="s">
        <v>822</v>
      </c>
      <c r="D718" s="123" t="s">
        <v>1303</v>
      </c>
      <c r="E718" s="123"/>
      <c r="F718" s="123"/>
      <c r="G718" s="123"/>
      <c r="H718" s="123"/>
      <c r="I718" s="123"/>
      <c r="J718" s="123"/>
      <c r="K718" s="123"/>
      <c r="L718" s="123"/>
    </row>
  </sheetData>
  <mergeCells count="1099">
    <mergeCell ref="D175:F175"/>
    <mergeCell ref="H175:I175"/>
    <mergeCell ref="K175:L175"/>
    <mergeCell ref="D176:L176"/>
    <mergeCell ref="D177:F177"/>
    <mergeCell ref="H177:I177"/>
    <mergeCell ref="K177:L177"/>
    <mergeCell ref="D168:L168"/>
    <mergeCell ref="D169:L169"/>
    <mergeCell ref="D170:L170"/>
    <mergeCell ref="D174:F174"/>
    <mergeCell ref="H174:I174"/>
    <mergeCell ref="K174:L174"/>
    <mergeCell ref="D163:L163"/>
    <mergeCell ref="D164:L164"/>
    <mergeCell ref="D165:L165"/>
    <mergeCell ref="D166:L166"/>
    <mergeCell ref="D167:L167"/>
    <mergeCell ref="D184:L184"/>
    <mergeCell ref="D185:F185"/>
    <mergeCell ref="H185:I185"/>
    <mergeCell ref="K185:L185"/>
    <mergeCell ref="D186:L186"/>
    <mergeCell ref="D181:F181"/>
    <mergeCell ref="H181:I181"/>
    <mergeCell ref="K181:L181"/>
    <mergeCell ref="D182:L182"/>
    <mergeCell ref="D183:F183"/>
    <mergeCell ref="H183:I183"/>
    <mergeCell ref="K183:L183"/>
    <mergeCell ref="D178:L178"/>
    <mergeCell ref="D179:F179"/>
    <mergeCell ref="H179:I179"/>
    <mergeCell ref="K179:L179"/>
    <mergeCell ref="D180:L180"/>
    <mergeCell ref="D193:F193"/>
    <mergeCell ref="H193:I193"/>
    <mergeCell ref="K193:L193"/>
    <mergeCell ref="D194:L194"/>
    <mergeCell ref="D195:F195"/>
    <mergeCell ref="H195:I195"/>
    <mergeCell ref="K195:L195"/>
    <mergeCell ref="D190:L190"/>
    <mergeCell ref="D191:F191"/>
    <mergeCell ref="H191:I191"/>
    <mergeCell ref="K191:L191"/>
    <mergeCell ref="D192:L192"/>
    <mergeCell ref="D187:F187"/>
    <mergeCell ref="H187:I187"/>
    <mergeCell ref="K187:L187"/>
    <mergeCell ref="D188:L188"/>
    <mergeCell ref="D189:F189"/>
    <mergeCell ref="H189:I189"/>
    <mergeCell ref="K189:L189"/>
    <mergeCell ref="D202:L202"/>
    <mergeCell ref="D203:F203"/>
    <mergeCell ref="H203:I203"/>
    <mergeCell ref="K203:L203"/>
    <mergeCell ref="D204:L204"/>
    <mergeCell ref="D199:F199"/>
    <mergeCell ref="H199:I199"/>
    <mergeCell ref="K199:L199"/>
    <mergeCell ref="D200:L200"/>
    <mergeCell ref="D201:F201"/>
    <mergeCell ref="H201:I201"/>
    <mergeCell ref="K201:L201"/>
    <mergeCell ref="D196:L196"/>
    <mergeCell ref="D197:F197"/>
    <mergeCell ref="H197:I197"/>
    <mergeCell ref="K197:L197"/>
    <mergeCell ref="D198:L198"/>
    <mergeCell ref="D211:F211"/>
    <mergeCell ref="H211:I211"/>
    <mergeCell ref="K211:L211"/>
    <mergeCell ref="D212:L212"/>
    <mergeCell ref="D213:F213"/>
    <mergeCell ref="H213:I213"/>
    <mergeCell ref="K213:L213"/>
    <mergeCell ref="D208:L208"/>
    <mergeCell ref="D209:F209"/>
    <mergeCell ref="H209:I209"/>
    <mergeCell ref="K209:L209"/>
    <mergeCell ref="D210:L210"/>
    <mergeCell ref="D205:F205"/>
    <mergeCell ref="H205:I205"/>
    <mergeCell ref="K205:L205"/>
    <mergeCell ref="D206:L206"/>
    <mergeCell ref="D207:F207"/>
    <mergeCell ref="H207:I207"/>
    <mergeCell ref="K207:L207"/>
    <mergeCell ref="D220:L220"/>
    <mergeCell ref="D221:F221"/>
    <mergeCell ref="H221:I221"/>
    <mergeCell ref="K221:L221"/>
    <mergeCell ref="D222:L222"/>
    <mergeCell ref="D217:F217"/>
    <mergeCell ref="H217:I217"/>
    <mergeCell ref="K217:L217"/>
    <mergeCell ref="D218:L218"/>
    <mergeCell ref="D219:F219"/>
    <mergeCell ref="H219:I219"/>
    <mergeCell ref="K219:L219"/>
    <mergeCell ref="D214:L214"/>
    <mergeCell ref="D215:F215"/>
    <mergeCell ref="H215:I215"/>
    <mergeCell ref="K215:L215"/>
    <mergeCell ref="D216:L216"/>
    <mergeCell ref="D229:F229"/>
    <mergeCell ref="H229:I229"/>
    <mergeCell ref="K229:L229"/>
    <mergeCell ref="D230:L230"/>
    <mergeCell ref="D231:F231"/>
    <mergeCell ref="H231:I231"/>
    <mergeCell ref="K231:L231"/>
    <mergeCell ref="D226:L226"/>
    <mergeCell ref="D227:F227"/>
    <mergeCell ref="H227:I227"/>
    <mergeCell ref="K227:L227"/>
    <mergeCell ref="D228:L228"/>
    <mergeCell ref="D223:F223"/>
    <mergeCell ref="H223:I223"/>
    <mergeCell ref="K223:L223"/>
    <mergeCell ref="D224:L224"/>
    <mergeCell ref="D225:F225"/>
    <mergeCell ref="H225:I225"/>
    <mergeCell ref="K225:L225"/>
    <mergeCell ref="D238:L238"/>
    <mergeCell ref="D239:F239"/>
    <mergeCell ref="H239:I239"/>
    <mergeCell ref="K239:L239"/>
    <mergeCell ref="D240:L240"/>
    <mergeCell ref="D235:F235"/>
    <mergeCell ref="H235:I235"/>
    <mergeCell ref="K235:L235"/>
    <mergeCell ref="D236:L236"/>
    <mergeCell ref="D237:F237"/>
    <mergeCell ref="H237:I237"/>
    <mergeCell ref="K237:L237"/>
    <mergeCell ref="D232:L232"/>
    <mergeCell ref="D233:F233"/>
    <mergeCell ref="H233:I233"/>
    <mergeCell ref="K233:L233"/>
    <mergeCell ref="D234:L234"/>
    <mergeCell ref="D247:F247"/>
    <mergeCell ref="H247:I247"/>
    <mergeCell ref="K247:L247"/>
    <mergeCell ref="D248:L248"/>
    <mergeCell ref="D249:F249"/>
    <mergeCell ref="H249:I249"/>
    <mergeCell ref="K249:L249"/>
    <mergeCell ref="D244:L244"/>
    <mergeCell ref="D245:F245"/>
    <mergeCell ref="H245:I245"/>
    <mergeCell ref="K245:L245"/>
    <mergeCell ref="D246:L246"/>
    <mergeCell ref="D241:F241"/>
    <mergeCell ref="H241:I241"/>
    <mergeCell ref="K241:L241"/>
    <mergeCell ref="D242:L242"/>
    <mergeCell ref="D243:F243"/>
    <mergeCell ref="H243:I243"/>
    <mergeCell ref="K243:L243"/>
    <mergeCell ref="D256:L256"/>
    <mergeCell ref="D257:F257"/>
    <mergeCell ref="H257:I257"/>
    <mergeCell ref="K257:L257"/>
    <mergeCell ref="D258:L258"/>
    <mergeCell ref="D253:F253"/>
    <mergeCell ref="H253:I253"/>
    <mergeCell ref="K253:L253"/>
    <mergeCell ref="D254:L254"/>
    <mergeCell ref="D255:F255"/>
    <mergeCell ref="H255:I255"/>
    <mergeCell ref="K255:L255"/>
    <mergeCell ref="D250:L250"/>
    <mergeCell ref="D251:F251"/>
    <mergeCell ref="H251:I251"/>
    <mergeCell ref="K251:L251"/>
    <mergeCell ref="D252:L252"/>
    <mergeCell ref="D265:F265"/>
    <mergeCell ref="H265:I265"/>
    <mergeCell ref="K265:L265"/>
    <mergeCell ref="D266:L266"/>
    <mergeCell ref="D267:F267"/>
    <mergeCell ref="H267:I267"/>
    <mergeCell ref="K267:L267"/>
    <mergeCell ref="D262:L262"/>
    <mergeCell ref="D263:F263"/>
    <mergeCell ref="H263:I263"/>
    <mergeCell ref="K263:L263"/>
    <mergeCell ref="D264:L264"/>
    <mergeCell ref="D259:F259"/>
    <mergeCell ref="H259:I259"/>
    <mergeCell ref="K259:L259"/>
    <mergeCell ref="D260:L260"/>
    <mergeCell ref="D261:F261"/>
    <mergeCell ref="H261:I261"/>
    <mergeCell ref="K261:L261"/>
    <mergeCell ref="D274:L274"/>
    <mergeCell ref="D275:F275"/>
    <mergeCell ref="H275:I275"/>
    <mergeCell ref="K275:L275"/>
    <mergeCell ref="D276:L276"/>
    <mergeCell ref="D271:F271"/>
    <mergeCell ref="H271:I271"/>
    <mergeCell ref="K271:L271"/>
    <mergeCell ref="D272:L272"/>
    <mergeCell ref="D273:F273"/>
    <mergeCell ref="H273:I273"/>
    <mergeCell ref="K273:L273"/>
    <mergeCell ref="D268:L268"/>
    <mergeCell ref="D269:F269"/>
    <mergeCell ref="H269:I269"/>
    <mergeCell ref="K269:L269"/>
    <mergeCell ref="D270:L270"/>
    <mergeCell ref="D283:F283"/>
    <mergeCell ref="H283:I283"/>
    <mergeCell ref="K283:L283"/>
    <mergeCell ref="D284:L284"/>
    <mergeCell ref="D285:F285"/>
    <mergeCell ref="H285:I285"/>
    <mergeCell ref="K285:L285"/>
    <mergeCell ref="D280:L280"/>
    <mergeCell ref="D281:F281"/>
    <mergeCell ref="H281:I281"/>
    <mergeCell ref="K281:L281"/>
    <mergeCell ref="D282:L282"/>
    <mergeCell ref="D277:F277"/>
    <mergeCell ref="H277:I277"/>
    <mergeCell ref="K277:L277"/>
    <mergeCell ref="D278:L278"/>
    <mergeCell ref="D279:F279"/>
    <mergeCell ref="H279:I279"/>
    <mergeCell ref="K279:L279"/>
    <mergeCell ref="D292:L292"/>
    <mergeCell ref="D293:F293"/>
    <mergeCell ref="H293:I293"/>
    <mergeCell ref="K293:L293"/>
    <mergeCell ref="D294:L294"/>
    <mergeCell ref="D289:F289"/>
    <mergeCell ref="H289:I289"/>
    <mergeCell ref="K289:L289"/>
    <mergeCell ref="D290:L290"/>
    <mergeCell ref="D291:F291"/>
    <mergeCell ref="H291:I291"/>
    <mergeCell ref="K291:L291"/>
    <mergeCell ref="D286:L286"/>
    <mergeCell ref="D287:F287"/>
    <mergeCell ref="H287:I287"/>
    <mergeCell ref="K287:L287"/>
    <mergeCell ref="D288:L288"/>
    <mergeCell ref="D301:F301"/>
    <mergeCell ref="H301:I301"/>
    <mergeCell ref="K301:L301"/>
    <mergeCell ref="D302:L302"/>
    <mergeCell ref="D303:F303"/>
    <mergeCell ref="H303:I303"/>
    <mergeCell ref="K303:L303"/>
    <mergeCell ref="D298:L298"/>
    <mergeCell ref="D299:F299"/>
    <mergeCell ref="H299:I299"/>
    <mergeCell ref="K299:L299"/>
    <mergeCell ref="D300:L300"/>
    <mergeCell ref="D295:F295"/>
    <mergeCell ref="H295:I295"/>
    <mergeCell ref="K295:L295"/>
    <mergeCell ref="D296:L296"/>
    <mergeCell ref="D297:F297"/>
    <mergeCell ref="H297:I297"/>
    <mergeCell ref="K297:L297"/>
    <mergeCell ref="D310:L310"/>
    <mergeCell ref="D311:F311"/>
    <mergeCell ref="H311:I311"/>
    <mergeCell ref="K311:L311"/>
    <mergeCell ref="D312:L312"/>
    <mergeCell ref="D307:F307"/>
    <mergeCell ref="H307:I307"/>
    <mergeCell ref="K307:L307"/>
    <mergeCell ref="D308:L308"/>
    <mergeCell ref="D309:F309"/>
    <mergeCell ref="H309:I309"/>
    <mergeCell ref="K309:L309"/>
    <mergeCell ref="D304:L304"/>
    <mergeCell ref="D305:F305"/>
    <mergeCell ref="H305:I305"/>
    <mergeCell ref="K305:L305"/>
    <mergeCell ref="D306:L306"/>
    <mergeCell ref="D319:F319"/>
    <mergeCell ref="H319:I319"/>
    <mergeCell ref="K319:L319"/>
    <mergeCell ref="D320:L320"/>
    <mergeCell ref="D321:F321"/>
    <mergeCell ref="H321:I321"/>
    <mergeCell ref="K321:L321"/>
    <mergeCell ref="D316:L316"/>
    <mergeCell ref="D317:F317"/>
    <mergeCell ref="H317:I317"/>
    <mergeCell ref="K317:L317"/>
    <mergeCell ref="D318:L318"/>
    <mergeCell ref="D313:F313"/>
    <mergeCell ref="H313:I313"/>
    <mergeCell ref="K313:L313"/>
    <mergeCell ref="D314:L314"/>
    <mergeCell ref="D315:F315"/>
    <mergeCell ref="H315:I315"/>
    <mergeCell ref="K315:L315"/>
    <mergeCell ref="D328:L328"/>
    <mergeCell ref="D329:F329"/>
    <mergeCell ref="H329:I329"/>
    <mergeCell ref="K329:L329"/>
    <mergeCell ref="D330:L330"/>
    <mergeCell ref="D325:F325"/>
    <mergeCell ref="H325:I325"/>
    <mergeCell ref="K325:L325"/>
    <mergeCell ref="D326:L326"/>
    <mergeCell ref="D327:F327"/>
    <mergeCell ref="H327:I327"/>
    <mergeCell ref="K327:L327"/>
    <mergeCell ref="D322:L322"/>
    <mergeCell ref="D323:F323"/>
    <mergeCell ref="H323:I323"/>
    <mergeCell ref="K323:L323"/>
    <mergeCell ref="D324:L324"/>
    <mergeCell ref="D337:F337"/>
    <mergeCell ref="H337:I337"/>
    <mergeCell ref="K337:L337"/>
    <mergeCell ref="D338:L338"/>
    <mergeCell ref="D339:F339"/>
    <mergeCell ref="H339:I339"/>
    <mergeCell ref="K339:L339"/>
    <mergeCell ref="D334:L334"/>
    <mergeCell ref="D335:F335"/>
    <mergeCell ref="H335:I335"/>
    <mergeCell ref="K335:L335"/>
    <mergeCell ref="D336:L336"/>
    <mergeCell ref="D331:F331"/>
    <mergeCell ref="H331:I331"/>
    <mergeCell ref="K331:L331"/>
    <mergeCell ref="D332:L332"/>
    <mergeCell ref="D333:F333"/>
    <mergeCell ref="H333:I333"/>
    <mergeCell ref="K333:L333"/>
    <mergeCell ref="D346:L346"/>
    <mergeCell ref="D347:F347"/>
    <mergeCell ref="H347:I347"/>
    <mergeCell ref="K347:L347"/>
    <mergeCell ref="D348:L348"/>
    <mergeCell ref="D343:F343"/>
    <mergeCell ref="H343:I343"/>
    <mergeCell ref="K343:L343"/>
    <mergeCell ref="D344:L344"/>
    <mergeCell ref="D345:F345"/>
    <mergeCell ref="H345:I345"/>
    <mergeCell ref="K345:L345"/>
    <mergeCell ref="D340:L340"/>
    <mergeCell ref="D341:F341"/>
    <mergeCell ref="H341:I341"/>
    <mergeCell ref="K341:L341"/>
    <mergeCell ref="D342:L342"/>
    <mergeCell ref="D355:F355"/>
    <mergeCell ref="H355:I355"/>
    <mergeCell ref="K355:L355"/>
    <mergeCell ref="D356:L356"/>
    <mergeCell ref="D357:F357"/>
    <mergeCell ref="H357:I357"/>
    <mergeCell ref="K357:L357"/>
    <mergeCell ref="D352:L352"/>
    <mergeCell ref="D353:F353"/>
    <mergeCell ref="H353:I353"/>
    <mergeCell ref="K353:L353"/>
    <mergeCell ref="D354:L354"/>
    <mergeCell ref="D349:F349"/>
    <mergeCell ref="H349:I349"/>
    <mergeCell ref="K349:L349"/>
    <mergeCell ref="D350:L350"/>
    <mergeCell ref="D351:F351"/>
    <mergeCell ref="H351:I351"/>
    <mergeCell ref="K351:L351"/>
    <mergeCell ref="D364:L364"/>
    <mergeCell ref="D365:F365"/>
    <mergeCell ref="H365:I365"/>
    <mergeCell ref="K365:L365"/>
    <mergeCell ref="D366:L366"/>
    <mergeCell ref="D361:F361"/>
    <mergeCell ref="H361:I361"/>
    <mergeCell ref="K361:L361"/>
    <mergeCell ref="D362:L362"/>
    <mergeCell ref="D363:F363"/>
    <mergeCell ref="H363:I363"/>
    <mergeCell ref="K363:L363"/>
    <mergeCell ref="D358:L358"/>
    <mergeCell ref="D359:F359"/>
    <mergeCell ref="H359:I359"/>
    <mergeCell ref="K359:L359"/>
    <mergeCell ref="D360:L360"/>
    <mergeCell ref="D373:F373"/>
    <mergeCell ref="H373:I373"/>
    <mergeCell ref="K373:L373"/>
    <mergeCell ref="D374:L374"/>
    <mergeCell ref="D375:F375"/>
    <mergeCell ref="H375:I375"/>
    <mergeCell ref="K375:L375"/>
    <mergeCell ref="D370:L370"/>
    <mergeCell ref="D371:F371"/>
    <mergeCell ref="H371:I371"/>
    <mergeCell ref="K371:L371"/>
    <mergeCell ref="D372:L372"/>
    <mergeCell ref="D367:F367"/>
    <mergeCell ref="H367:I367"/>
    <mergeCell ref="K367:L367"/>
    <mergeCell ref="D368:L368"/>
    <mergeCell ref="D369:F369"/>
    <mergeCell ref="H369:I369"/>
    <mergeCell ref="K369:L369"/>
    <mergeCell ref="D382:L382"/>
    <mergeCell ref="D383:F383"/>
    <mergeCell ref="H383:I383"/>
    <mergeCell ref="K383:L383"/>
    <mergeCell ref="D384:L384"/>
    <mergeCell ref="D379:F379"/>
    <mergeCell ref="H379:I379"/>
    <mergeCell ref="K379:L379"/>
    <mergeCell ref="D380:L380"/>
    <mergeCell ref="D381:F381"/>
    <mergeCell ref="H381:I381"/>
    <mergeCell ref="K381:L381"/>
    <mergeCell ref="D376:L376"/>
    <mergeCell ref="D377:F377"/>
    <mergeCell ref="H377:I377"/>
    <mergeCell ref="K377:L377"/>
    <mergeCell ref="D378:L378"/>
    <mergeCell ref="D391:F391"/>
    <mergeCell ref="H391:I391"/>
    <mergeCell ref="K391:L391"/>
    <mergeCell ref="D392:L392"/>
    <mergeCell ref="D393:F393"/>
    <mergeCell ref="H393:I393"/>
    <mergeCell ref="K393:L393"/>
    <mergeCell ref="D388:L388"/>
    <mergeCell ref="D389:F389"/>
    <mergeCell ref="H389:I389"/>
    <mergeCell ref="K389:L389"/>
    <mergeCell ref="D390:L390"/>
    <mergeCell ref="D385:F385"/>
    <mergeCell ref="H385:I385"/>
    <mergeCell ref="K385:L385"/>
    <mergeCell ref="D386:L386"/>
    <mergeCell ref="D387:F387"/>
    <mergeCell ref="H387:I387"/>
    <mergeCell ref="K387:L387"/>
    <mergeCell ref="D400:L400"/>
    <mergeCell ref="D401:F401"/>
    <mergeCell ref="H401:I401"/>
    <mergeCell ref="K401:L401"/>
    <mergeCell ref="D402:L402"/>
    <mergeCell ref="D397:F397"/>
    <mergeCell ref="H397:I397"/>
    <mergeCell ref="K397:L397"/>
    <mergeCell ref="D398:L398"/>
    <mergeCell ref="D399:F399"/>
    <mergeCell ref="H399:I399"/>
    <mergeCell ref="K399:L399"/>
    <mergeCell ref="D394:L394"/>
    <mergeCell ref="D395:F395"/>
    <mergeCell ref="H395:I395"/>
    <mergeCell ref="K395:L395"/>
    <mergeCell ref="D396:L396"/>
    <mergeCell ref="D409:F409"/>
    <mergeCell ref="H409:I409"/>
    <mergeCell ref="K409:L409"/>
    <mergeCell ref="D410:L410"/>
    <mergeCell ref="D411:F411"/>
    <mergeCell ref="H411:I411"/>
    <mergeCell ref="K411:L411"/>
    <mergeCell ref="D406:L406"/>
    <mergeCell ref="D407:F407"/>
    <mergeCell ref="H407:I407"/>
    <mergeCell ref="K407:L407"/>
    <mergeCell ref="D408:L408"/>
    <mergeCell ref="D403:F403"/>
    <mergeCell ref="H403:I403"/>
    <mergeCell ref="K403:L403"/>
    <mergeCell ref="D404:L404"/>
    <mergeCell ref="D405:F405"/>
    <mergeCell ref="H405:I405"/>
    <mergeCell ref="K405:L405"/>
    <mergeCell ref="D418:L418"/>
    <mergeCell ref="D419:F419"/>
    <mergeCell ref="H419:I419"/>
    <mergeCell ref="K419:L419"/>
    <mergeCell ref="D420:L420"/>
    <mergeCell ref="D415:F415"/>
    <mergeCell ref="H415:I415"/>
    <mergeCell ref="K415:L415"/>
    <mergeCell ref="D416:L416"/>
    <mergeCell ref="D417:F417"/>
    <mergeCell ref="H417:I417"/>
    <mergeCell ref="K417:L417"/>
    <mergeCell ref="D412:L412"/>
    <mergeCell ref="D413:F413"/>
    <mergeCell ref="H413:I413"/>
    <mergeCell ref="K413:L413"/>
    <mergeCell ref="D414:L414"/>
    <mergeCell ref="D427:F427"/>
    <mergeCell ref="H427:I427"/>
    <mergeCell ref="K427:L427"/>
    <mergeCell ref="D428:L428"/>
    <mergeCell ref="D429:F429"/>
    <mergeCell ref="H429:I429"/>
    <mergeCell ref="K429:L429"/>
    <mergeCell ref="D424:L424"/>
    <mergeCell ref="D425:F425"/>
    <mergeCell ref="H425:I425"/>
    <mergeCell ref="K425:L425"/>
    <mergeCell ref="D426:L426"/>
    <mergeCell ref="D421:F421"/>
    <mergeCell ref="H421:I421"/>
    <mergeCell ref="K421:L421"/>
    <mergeCell ref="D422:L422"/>
    <mergeCell ref="D423:F423"/>
    <mergeCell ref="H423:I423"/>
    <mergeCell ref="K423:L423"/>
    <mergeCell ref="D436:L436"/>
    <mergeCell ref="D437:F437"/>
    <mergeCell ref="H437:I437"/>
    <mergeCell ref="K437:L437"/>
    <mergeCell ref="D438:L438"/>
    <mergeCell ref="D433:F433"/>
    <mergeCell ref="H433:I433"/>
    <mergeCell ref="K433:L433"/>
    <mergeCell ref="D434:L434"/>
    <mergeCell ref="D435:F435"/>
    <mergeCell ref="H435:I435"/>
    <mergeCell ref="K435:L435"/>
    <mergeCell ref="D430:L430"/>
    <mergeCell ref="D431:F431"/>
    <mergeCell ref="H431:I431"/>
    <mergeCell ref="K431:L431"/>
    <mergeCell ref="D432:L432"/>
    <mergeCell ref="D445:F445"/>
    <mergeCell ref="H445:I445"/>
    <mergeCell ref="K445:L445"/>
    <mergeCell ref="D446:L446"/>
    <mergeCell ref="D447:F447"/>
    <mergeCell ref="H447:I447"/>
    <mergeCell ref="K447:L447"/>
    <mergeCell ref="D442:L442"/>
    <mergeCell ref="D443:F443"/>
    <mergeCell ref="H443:I443"/>
    <mergeCell ref="K443:L443"/>
    <mergeCell ref="D444:L444"/>
    <mergeCell ref="D439:F439"/>
    <mergeCell ref="H439:I439"/>
    <mergeCell ref="K439:L439"/>
    <mergeCell ref="D440:L440"/>
    <mergeCell ref="D441:F441"/>
    <mergeCell ref="H441:I441"/>
    <mergeCell ref="K441:L441"/>
    <mergeCell ref="D454:L454"/>
    <mergeCell ref="D455:F455"/>
    <mergeCell ref="H455:I455"/>
    <mergeCell ref="K455:L455"/>
    <mergeCell ref="D456:L456"/>
    <mergeCell ref="D451:F451"/>
    <mergeCell ref="H451:I451"/>
    <mergeCell ref="K451:L451"/>
    <mergeCell ref="D452:L452"/>
    <mergeCell ref="D453:F453"/>
    <mergeCell ref="H453:I453"/>
    <mergeCell ref="K453:L453"/>
    <mergeCell ref="D448:L448"/>
    <mergeCell ref="D449:F449"/>
    <mergeCell ref="H449:I449"/>
    <mergeCell ref="K449:L449"/>
    <mergeCell ref="D450:L450"/>
    <mergeCell ref="D463:F463"/>
    <mergeCell ref="H463:I463"/>
    <mergeCell ref="K463:L463"/>
    <mergeCell ref="D464:L464"/>
    <mergeCell ref="D465:F465"/>
    <mergeCell ref="H465:I465"/>
    <mergeCell ref="K465:L465"/>
    <mergeCell ref="D460:L460"/>
    <mergeCell ref="D461:F461"/>
    <mergeCell ref="H461:I461"/>
    <mergeCell ref="K461:L461"/>
    <mergeCell ref="D462:L462"/>
    <mergeCell ref="D457:F457"/>
    <mergeCell ref="H457:I457"/>
    <mergeCell ref="K457:L457"/>
    <mergeCell ref="D458:L458"/>
    <mergeCell ref="D459:F459"/>
    <mergeCell ref="H459:I459"/>
    <mergeCell ref="K459:L459"/>
    <mergeCell ref="D472:L472"/>
    <mergeCell ref="D473:F473"/>
    <mergeCell ref="H473:I473"/>
    <mergeCell ref="K473:L473"/>
    <mergeCell ref="D474:L474"/>
    <mergeCell ref="D469:F469"/>
    <mergeCell ref="H469:I469"/>
    <mergeCell ref="K469:L469"/>
    <mergeCell ref="D470:L470"/>
    <mergeCell ref="D471:F471"/>
    <mergeCell ref="H471:I471"/>
    <mergeCell ref="K471:L471"/>
    <mergeCell ref="D466:L466"/>
    <mergeCell ref="D467:F467"/>
    <mergeCell ref="H467:I467"/>
    <mergeCell ref="K467:L467"/>
    <mergeCell ref="D468:L468"/>
    <mergeCell ref="D481:F481"/>
    <mergeCell ref="H481:I481"/>
    <mergeCell ref="K481:L481"/>
    <mergeCell ref="D482:L482"/>
    <mergeCell ref="D483:F483"/>
    <mergeCell ref="H483:I483"/>
    <mergeCell ref="K483:L483"/>
    <mergeCell ref="D478:L478"/>
    <mergeCell ref="D479:F479"/>
    <mergeCell ref="H479:I479"/>
    <mergeCell ref="K479:L479"/>
    <mergeCell ref="D480:L480"/>
    <mergeCell ref="D475:F475"/>
    <mergeCell ref="H475:I475"/>
    <mergeCell ref="K475:L475"/>
    <mergeCell ref="D476:L476"/>
    <mergeCell ref="D477:F477"/>
    <mergeCell ref="H477:I477"/>
    <mergeCell ref="K477:L477"/>
    <mergeCell ref="D490:L490"/>
    <mergeCell ref="D491:F491"/>
    <mergeCell ref="H491:I491"/>
    <mergeCell ref="K491:L491"/>
    <mergeCell ref="D492:L492"/>
    <mergeCell ref="D487:F487"/>
    <mergeCell ref="H487:I487"/>
    <mergeCell ref="K487:L487"/>
    <mergeCell ref="D488:L488"/>
    <mergeCell ref="D489:F489"/>
    <mergeCell ref="H489:I489"/>
    <mergeCell ref="K489:L489"/>
    <mergeCell ref="D484:L484"/>
    <mergeCell ref="D485:F485"/>
    <mergeCell ref="H485:I485"/>
    <mergeCell ref="K485:L485"/>
    <mergeCell ref="D486:L486"/>
    <mergeCell ref="D499:F499"/>
    <mergeCell ref="H499:I499"/>
    <mergeCell ref="K499:L499"/>
    <mergeCell ref="D500:L500"/>
    <mergeCell ref="D501:F501"/>
    <mergeCell ref="H501:I501"/>
    <mergeCell ref="K501:L501"/>
    <mergeCell ref="D496:L496"/>
    <mergeCell ref="D497:F497"/>
    <mergeCell ref="H497:I497"/>
    <mergeCell ref="K497:L497"/>
    <mergeCell ref="D498:L498"/>
    <mergeCell ref="D493:F493"/>
    <mergeCell ref="H493:I493"/>
    <mergeCell ref="K493:L493"/>
    <mergeCell ref="D494:L494"/>
    <mergeCell ref="D495:F495"/>
    <mergeCell ref="H495:I495"/>
    <mergeCell ref="K495:L495"/>
    <mergeCell ref="D508:L508"/>
    <mergeCell ref="D509:F509"/>
    <mergeCell ref="H509:I509"/>
    <mergeCell ref="K509:L509"/>
    <mergeCell ref="D510:L510"/>
    <mergeCell ref="D505:F505"/>
    <mergeCell ref="H505:I505"/>
    <mergeCell ref="K505:L505"/>
    <mergeCell ref="D506:L506"/>
    <mergeCell ref="D507:F507"/>
    <mergeCell ref="H507:I507"/>
    <mergeCell ref="K507:L507"/>
    <mergeCell ref="D502:L502"/>
    <mergeCell ref="D503:F503"/>
    <mergeCell ref="H503:I503"/>
    <mergeCell ref="K503:L503"/>
    <mergeCell ref="D504:L504"/>
    <mergeCell ref="D517:F517"/>
    <mergeCell ref="H517:I517"/>
    <mergeCell ref="K517:L517"/>
    <mergeCell ref="D518:L518"/>
    <mergeCell ref="D519:F519"/>
    <mergeCell ref="H519:I519"/>
    <mergeCell ref="K519:L519"/>
    <mergeCell ref="D514:L514"/>
    <mergeCell ref="D515:F515"/>
    <mergeCell ref="H515:I515"/>
    <mergeCell ref="K515:L515"/>
    <mergeCell ref="D516:L516"/>
    <mergeCell ref="D511:F511"/>
    <mergeCell ref="H511:I511"/>
    <mergeCell ref="K511:L511"/>
    <mergeCell ref="D512:L512"/>
    <mergeCell ref="D513:F513"/>
    <mergeCell ref="H513:I513"/>
    <mergeCell ref="K513:L513"/>
    <mergeCell ref="D526:L526"/>
    <mergeCell ref="D527:F527"/>
    <mergeCell ref="H527:I527"/>
    <mergeCell ref="K527:L527"/>
    <mergeCell ref="D528:L528"/>
    <mergeCell ref="D523:F523"/>
    <mergeCell ref="H523:I523"/>
    <mergeCell ref="K523:L523"/>
    <mergeCell ref="D524:L524"/>
    <mergeCell ref="D525:F525"/>
    <mergeCell ref="H525:I525"/>
    <mergeCell ref="K525:L525"/>
    <mergeCell ref="D520:L520"/>
    <mergeCell ref="D521:F521"/>
    <mergeCell ref="H521:I521"/>
    <mergeCell ref="K521:L521"/>
    <mergeCell ref="D522:L522"/>
    <mergeCell ref="D535:F535"/>
    <mergeCell ref="H535:I535"/>
    <mergeCell ref="K535:L535"/>
    <mergeCell ref="D536:L536"/>
    <mergeCell ref="D537:F537"/>
    <mergeCell ref="H537:I537"/>
    <mergeCell ref="K537:L537"/>
    <mergeCell ref="D532:L532"/>
    <mergeCell ref="D533:F533"/>
    <mergeCell ref="H533:I533"/>
    <mergeCell ref="K533:L533"/>
    <mergeCell ref="D534:L534"/>
    <mergeCell ref="D529:F529"/>
    <mergeCell ref="H529:I529"/>
    <mergeCell ref="K529:L529"/>
    <mergeCell ref="D530:L530"/>
    <mergeCell ref="D531:F531"/>
    <mergeCell ref="H531:I531"/>
    <mergeCell ref="K531:L531"/>
    <mergeCell ref="D544:L544"/>
    <mergeCell ref="D545:F545"/>
    <mergeCell ref="H545:I545"/>
    <mergeCell ref="K545:L545"/>
    <mergeCell ref="D546:L546"/>
    <mergeCell ref="D541:F541"/>
    <mergeCell ref="H541:I541"/>
    <mergeCell ref="K541:L541"/>
    <mergeCell ref="D542:L542"/>
    <mergeCell ref="D543:F543"/>
    <mergeCell ref="H543:I543"/>
    <mergeCell ref="K543:L543"/>
    <mergeCell ref="D538:L538"/>
    <mergeCell ref="D539:F539"/>
    <mergeCell ref="H539:I539"/>
    <mergeCell ref="K539:L539"/>
    <mergeCell ref="D540:L540"/>
    <mergeCell ref="D553:F553"/>
    <mergeCell ref="H553:I553"/>
    <mergeCell ref="K553:L553"/>
    <mergeCell ref="D554:L554"/>
    <mergeCell ref="D555:F555"/>
    <mergeCell ref="H555:I555"/>
    <mergeCell ref="K555:L555"/>
    <mergeCell ref="D550:L550"/>
    <mergeCell ref="D551:F551"/>
    <mergeCell ref="H551:I551"/>
    <mergeCell ref="K551:L551"/>
    <mergeCell ref="D552:L552"/>
    <mergeCell ref="D547:F547"/>
    <mergeCell ref="H547:I547"/>
    <mergeCell ref="K547:L547"/>
    <mergeCell ref="D548:L548"/>
    <mergeCell ref="D549:F549"/>
    <mergeCell ref="H549:I549"/>
    <mergeCell ref="K549:L549"/>
    <mergeCell ref="D562:L562"/>
    <mergeCell ref="D563:F563"/>
    <mergeCell ref="H563:I563"/>
    <mergeCell ref="K563:L563"/>
    <mergeCell ref="D564:L564"/>
    <mergeCell ref="D559:F559"/>
    <mergeCell ref="H559:I559"/>
    <mergeCell ref="K559:L559"/>
    <mergeCell ref="D560:L560"/>
    <mergeCell ref="D561:F561"/>
    <mergeCell ref="H561:I561"/>
    <mergeCell ref="K561:L561"/>
    <mergeCell ref="D556:L556"/>
    <mergeCell ref="D557:F557"/>
    <mergeCell ref="H557:I557"/>
    <mergeCell ref="K557:L557"/>
    <mergeCell ref="D558:L558"/>
    <mergeCell ref="D571:F571"/>
    <mergeCell ref="H571:I571"/>
    <mergeCell ref="K571:L571"/>
    <mergeCell ref="D572:L572"/>
    <mergeCell ref="D573:F573"/>
    <mergeCell ref="H573:I573"/>
    <mergeCell ref="K573:L573"/>
    <mergeCell ref="D568:L568"/>
    <mergeCell ref="D569:F569"/>
    <mergeCell ref="H569:I569"/>
    <mergeCell ref="K569:L569"/>
    <mergeCell ref="D570:L570"/>
    <mergeCell ref="D565:F565"/>
    <mergeCell ref="H565:I565"/>
    <mergeCell ref="K565:L565"/>
    <mergeCell ref="D566:L566"/>
    <mergeCell ref="D567:F567"/>
    <mergeCell ref="H567:I567"/>
    <mergeCell ref="K567:L567"/>
    <mergeCell ref="D580:L580"/>
    <mergeCell ref="D581:F581"/>
    <mergeCell ref="H581:I581"/>
    <mergeCell ref="K581:L581"/>
    <mergeCell ref="D582:L582"/>
    <mergeCell ref="D577:F577"/>
    <mergeCell ref="H577:I577"/>
    <mergeCell ref="K577:L577"/>
    <mergeCell ref="D578:L578"/>
    <mergeCell ref="D579:F579"/>
    <mergeCell ref="H579:I579"/>
    <mergeCell ref="K579:L579"/>
    <mergeCell ref="D574:L574"/>
    <mergeCell ref="D575:F575"/>
    <mergeCell ref="H575:I575"/>
    <mergeCell ref="K575:L575"/>
    <mergeCell ref="D576:L576"/>
    <mergeCell ref="D589:F589"/>
    <mergeCell ref="H589:I589"/>
    <mergeCell ref="K589:L589"/>
    <mergeCell ref="D590:L590"/>
    <mergeCell ref="D591:F591"/>
    <mergeCell ref="H591:I591"/>
    <mergeCell ref="K591:L591"/>
    <mergeCell ref="D586:L586"/>
    <mergeCell ref="D587:F587"/>
    <mergeCell ref="H587:I587"/>
    <mergeCell ref="K587:L587"/>
    <mergeCell ref="D588:L588"/>
    <mergeCell ref="D583:F583"/>
    <mergeCell ref="H583:I583"/>
    <mergeCell ref="K583:L583"/>
    <mergeCell ref="D584:L584"/>
    <mergeCell ref="D585:F585"/>
    <mergeCell ref="H585:I585"/>
    <mergeCell ref="K585:L585"/>
    <mergeCell ref="D598:L598"/>
    <mergeCell ref="D599:F599"/>
    <mergeCell ref="H599:I599"/>
    <mergeCell ref="K599:L599"/>
    <mergeCell ref="D600:L600"/>
    <mergeCell ref="D595:F595"/>
    <mergeCell ref="H595:I595"/>
    <mergeCell ref="K595:L595"/>
    <mergeCell ref="D596:L596"/>
    <mergeCell ref="D597:F597"/>
    <mergeCell ref="H597:I597"/>
    <mergeCell ref="K597:L597"/>
    <mergeCell ref="D592:L592"/>
    <mergeCell ref="D593:F593"/>
    <mergeCell ref="H593:I593"/>
    <mergeCell ref="K593:L593"/>
    <mergeCell ref="D594:L594"/>
    <mergeCell ref="D607:F607"/>
    <mergeCell ref="H607:I607"/>
    <mergeCell ref="K607:L607"/>
    <mergeCell ref="D608:L608"/>
    <mergeCell ref="D609:F609"/>
    <mergeCell ref="H609:I609"/>
    <mergeCell ref="K609:L609"/>
    <mergeCell ref="D604:L604"/>
    <mergeCell ref="D605:F605"/>
    <mergeCell ref="H605:I605"/>
    <mergeCell ref="K605:L605"/>
    <mergeCell ref="D606:L606"/>
    <mergeCell ref="D601:F601"/>
    <mergeCell ref="H601:I601"/>
    <mergeCell ref="K601:L601"/>
    <mergeCell ref="D602:L602"/>
    <mergeCell ref="D603:F603"/>
    <mergeCell ref="H603:I603"/>
    <mergeCell ref="K603:L603"/>
    <mergeCell ref="D616:L616"/>
    <mergeCell ref="D617:F617"/>
    <mergeCell ref="H617:I617"/>
    <mergeCell ref="K617:L617"/>
    <mergeCell ref="D618:L618"/>
    <mergeCell ref="D613:F613"/>
    <mergeCell ref="H613:I613"/>
    <mergeCell ref="K613:L613"/>
    <mergeCell ref="D614:L614"/>
    <mergeCell ref="D615:F615"/>
    <mergeCell ref="H615:I615"/>
    <mergeCell ref="K615:L615"/>
    <mergeCell ref="D610:L610"/>
    <mergeCell ref="D611:F611"/>
    <mergeCell ref="H611:I611"/>
    <mergeCell ref="K611:L611"/>
    <mergeCell ref="D612:L612"/>
    <mergeCell ref="D625:F625"/>
    <mergeCell ref="H625:I625"/>
    <mergeCell ref="K625:L625"/>
    <mergeCell ref="D626:L626"/>
    <mergeCell ref="D627:F627"/>
    <mergeCell ref="H627:I627"/>
    <mergeCell ref="K627:L627"/>
    <mergeCell ref="D622:L622"/>
    <mergeCell ref="D623:F623"/>
    <mergeCell ref="H623:I623"/>
    <mergeCell ref="K623:L623"/>
    <mergeCell ref="D624:L624"/>
    <mergeCell ref="D619:F619"/>
    <mergeCell ref="H619:I619"/>
    <mergeCell ref="K619:L619"/>
    <mergeCell ref="D620:L620"/>
    <mergeCell ref="D621:F621"/>
    <mergeCell ref="H621:I621"/>
    <mergeCell ref="K621:L621"/>
    <mergeCell ref="D634:L634"/>
    <mergeCell ref="D635:F635"/>
    <mergeCell ref="H635:I635"/>
    <mergeCell ref="K635:L635"/>
    <mergeCell ref="D636:L636"/>
    <mergeCell ref="D631:F631"/>
    <mergeCell ref="H631:I631"/>
    <mergeCell ref="K631:L631"/>
    <mergeCell ref="D632:L632"/>
    <mergeCell ref="D633:F633"/>
    <mergeCell ref="H633:I633"/>
    <mergeCell ref="K633:L633"/>
    <mergeCell ref="D628:L628"/>
    <mergeCell ref="D629:F629"/>
    <mergeCell ref="H629:I629"/>
    <mergeCell ref="K629:L629"/>
    <mergeCell ref="D630:L630"/>
    <mergeCell ref="D643:F643"/>
    <mergeCell ref="H643:I643"/>
    <mergeCell ref="K643:L643"/>
    <mergeCell ref="D644:L644"/>
    <mergeCell ref="D645:F645"/>
    <mergeCell ref="H645:I645"/>
    <mergeCell ref="K645:L645"/>
    <mergeCell ref="D640:L640"/>
    <mergeCell ref="D641:F641"/>
    <mergeCell ref="H641:I641"/>
    <mergeCell ref="K641:L641"/>
    <mergeCell ref="D642:L642"/>
    <mergeCell ref="D637:F637"/>
    <mergeCell ref="H637:I637"/>
    <mergeCell ref="K637:L637"/>
    <mergeCell ref="D638:L638"/>
    <mergeCell ref="D639:F639"/>
    <mergeCell ref="H639:I639"/>
    <mergeCell ref="K639:L639"/>
    <mergeCell ref="D652:L652"/>
    <mergeCell ref="D653:F653"/>
    <mergeCell ref="H653:I653"/>
    <mergeCell ref="K653:L653"/>
    <mergeCell ref="D654:L654"/>
    <mergeCell ref="D649:F649"/>
    <mergeCell ref="H649:I649"/>
    <mergeCell ref="K649:L649"/>
    <mergeCell ref="D650:L650"/>
    <mergeCell ref="D651:F651"/>
    <mergeCell ref="H651:I651"/>
    <mergeCell ref="K651:L651"/>
    <mergeCell ref="D646:L646"/>
    <mergeCell ref="D647:F647"/>
    <mergeCell ref="H647:I647"/>
    <mergeCell ref="K647:L647"/>
    <mergeCell ref="D648:L648"/>
    <mergeCell ref="D661:F661"/>
    <mergeCell ref="H661:I661"/>
    <mergeCell ref="K661:L661"/>
    <mergeCell ref="D662:L662"/>
    <mergeCell ref="D663:F663"/>
    <mergeCell ref="H663:I663"/>
    <mergeCell ref="K663:L663"/>
    <mergeCell ref="D658:L658"/>
    <mergeCell ref="D659:F659"/>
    <mergeCell ref="H659:I659"/>
    <mergeCell ref="K659:L659"/>
    <mergeCell ref="D660:L660"/>
    <mergeCell ref="D655:F655"/>
    <mergeCell ref="H655:I655"/>
    <mergeCell ref="K655:L655"/>
    <mergeCell ref="D656:L656"/>
    <mergeCell ref="D657:F657"/>
    <mergeCell ref="H657:I657"/>
    <mergeCell ref="K657:L657"/>
    <mergeCell ref="D670:L670"/>
    <mergeCell ref="D671:F671"/>
    <mergeCell ref="H671:I671"/>
    <mergeCell ref="K671:L671"/>
    <mergeCell ref="D672:L672"/>
    <mergeCell ref="D667:F667"/>
    <mergeCell ref="H667:I667"/>
    <mergeCell ref="K667:L667"/>
    <mergeCell ref="D668:L668"/>
    <mergeCell ref="D669:F669"/>
    <mergeCell ref="H669:I669"/>
    <mergeCell ref="K669:L669"/>
    <mergeCell ref="D664:L664"/>
    <mergeCell ref="D665:F665"/>
    <mergeCell ref="H665:I665"/>
    <mergeCell ref="K665:L665"/>
    <mergeCell ref="D666:L666"/>
    <mergeCell ref="D679:F679"/>
    <mergeCell ref="H679:I679"/>
    <mergeCell ref="K679:L679"/>
    <mergeCell ref="D680:L680"/>
    <mergeCell ref="D681:F681"/>
    <mergeCell ref="H681:I681"/>
    <mergeCell ref="K681:L681"/>
    <mergeCell ref="D676:L676"/>
    <mergeCell ref="D677:F677"/>
    <mergeCell ref="H677:I677"/>
    <mergeCell ref="K677:L677"/>
    <mergeCell ref="D678:L678"/>
    <mergeCell ref="D673:F673"/>
    <mergeCell ref="H673:I673"/>
    <mergeCell ref="K673:L673"/>
    <mergeCell ref="D674:L674"/>
    <mergeCell ref="D675:F675"/>
    <mergeCell ref="H675:I675"/>
    <mergeCell ref="K675:L675"/>
    <mergeCell ref="D688:L688"/>
    <mergeCell ref="D689:F689"/>
    <mergeCell ref="H689:I689"/>
    <mergeCell ref="K689:L689"/>
    <mergeCell ref="D690:L690"/>
    <mergeCell ref="D685:F685"/>
    <mergeCell ref="H685:I685"/>
    <mergeCell ref="K685:L685"/>
    <mergeCell ref="D686:L686"/>
    <mergeCell ref="D687:F687"/>
    <mergeCell ref="H687:I687"/>
    <mergeCell ref="K687:L687"/>
    <mergeCell ref="D682:L682"/>
    <mergeCell ref="D683:F683"/>
    <mergeCell ref="H683:I683"/>
    <mergeCell ref="K683:L683"/>
    <mergeCell ref="D684:L684"/>
    <mergeCell ref="D697:F697"/>
    <mergeCell ref="H697:I697"/>
    <mergeCell ref="K697:L697"/>
    <mergeCell ref="D698:L698"/>
    <mergeCell ref="D699:F699"/>
    <mergeCell ref="H699:I699"/>
    <mergeCell ref="K699:L699"/>
    <mergeCell ref="D694:L694"/>
    <mergeCell ref="D695:F695"/>
    <mergeCell ref="H695:I695"/>
    <mergeCell ref="K695:L695"/>
    <mergeCell ref="D696:L696"/>
    <mergeCell ref="D691:F691"/>
    <mergeCell ref="H691:I691"/>
    <mergeCell ref="K691:L691"/>
    <mergeCell ref="D692:L692"/>
    <mergeCell ref="D693:F693"/>
    <mergeCell ref="H693:I693"/>
    <mergeCell ref="K693:L693"/>
    <mergeCell ref="D706:L706"/>
    <mergeCell ref="D707:F707"/>
    <mergeCell ref="H707:I707"/>
    <mergeCell ref="K707:L707"/>
    <mergeCell ref="D708:L708"/>
    <mergeCell ref="D703:F703"/>
    <mergeCell ref="H703:I703"/>
    <mergeCell ref="K703:L703"/>
    <mergeCell ref="D704:L704"/>
    <mergeCell ref="D705:F705"/>
    <mergeCell ref="H705:I705"/>
    <mergeCell ref="K705:L705"/>
    <mergeCell ref="D700:L700"/>
    <mergeCell ref="D701:F701"/>
    <mergeCell ref="H701:I701"/>
    <mergeCell ref="K701:L701"/>
    <mergeCell ref="D702:L702"/>
    <mergeCell ref="D718:L718"/>
    <mergeCell ref="D715:F715"/>
    <mergeCell ref="H715:I715"/>
    <mergeCell ref="K715:L715"/>
    <mergeCell ref="D716:L716"/>
    <mergeCell ref="D717:F717"/>
    <mergeCell ref="H717:I717"/>
    <mergeCell ref="K717:L717"/>
    <mergeCell ref="D712:L712"/>
    <mergeCell ref="D713:F713"/>
    <mergeCell ref="H713:I713"/>
    <mergeCell ref="K713:L713"/>
    <mergeCell ref="D714:L714"/>
    <mergeCell ref="D709:F709"/>
    <mergeCell ref="H709:I709"/>
    <mergeCell ref="K709:L709"/>
    <mergeCell ref="D710:L710"/>
    <mergeCell ref="D711:F711"/>
    <mergeCell ref="H711:I711"/>
    <mergeCell ref="K711:L711"/>
  </mergeCells>
  <conditionalFormatting sqref="I10:I159">
    <cfRule type="containsText" dxfId="4" priority="1" operator="containsText" text="FAIL"/>
    <cfRule type="containsText" dxfId="3" priority="2" operator="containsText" text="UNAVAILABLE"/>
  </conditionalFormatting>
  <hyperlinks>
    <hyperlink ref="C4" location="'00 Cover'!C2" display="Return to Cover" xr:uid="{00000000-0004-0000-0400-000000000000}"/>
    <hyperlink ref="K175" r:id="rId1" xr:uid="{00000000-0004-0000-0400-000001000000}"/>
    <hyperlink ref="K177" r:id="rId2" xr:uid="{00000000-0004-0000-0400-000002000000}"/>
    <hyperlink ref="K179" r:id="rId3" xr:uid="{00000000-0004-0000-0400-000003000000}"/>
    <hyperlink ref="K181" r:id="rId4" xr:uid="{00000000-0004-0000-0400-000004000000}"/>
    <hyperlink ref="K183" r:id="rId5" xr:uid="{00000000-0004-0000-0400-000005000000}"/>
    <hyperlink ref="K185" r:id="rId6" xr:uid="{00000000-0004-0000-0400-000006000000}"/>
    <hyperlink ref="K187" r:id="rId7" xr:uid="{00000000-0004-0000-0400-000007000000}"/>
    <hyperlink ref="K189" r:id="rId8" xr:uid="{00000000-0004-0000-0400-000008000000}"/>
    <hyperlink ref="K191" r:id="rId9" xr:uid="{00000000-0004-0000-0400-000009000000}"/>
    <hyperlink ref="K193" r:id="rId10" xr:uid="{00000000-0004-0000-0400-00000A000000}"/>
    <hyperlink ref="K195" r:id="rId11" xr:uid="{00000000-0004-0000-0400-00000B000000}"/>
    <hyperlink ref="K197" r:id="rId12" xr:uid="{00000000-0004-0000-0400-00000C000000}"/>
    <hyperlink ref="K199" r:id="rId13" xr:uid="{00000000-0004-0000-0400-00000D000000}"/>
    <hyperlink ref="K201" r:id="rId14" xr:uid="{00000000-0004-0000-0400-00000E000000}"/>
    <hyperlink ref="K203" r:id="rId15" xr:uid="{00000000-0004-0000-0400-00000F000000}"/>
    <hyperlink ref="K205" r:id="rId16" xr:uid="{00000000-0004-0000-0400-000010000000}"/>
    <hyperlink ref="K207" r:id="rId17" xr:uid="{00000000-0004-0000-0400-000011000000}"/>
    <hyperlink ref="K209" r:id="rId18" xr:uid="{00000000-0004-0000-0400-000012000000}"/>
    <hyperlink ref="K211" r:id="rId19" xr:uid="{00000000-0004-0000-0400-000013000000}"/>
    <hyperlink ref="K213" r:id="rId20" xr:uid="{00000000-0004-0000-0400-000014000000}"/>
    <hyperlink ref="K215" r:id="rId21" xr:uid="{00000000-0004-0000-0400-000015000000}"/>
    <hyperlink ref="K217" r:id="rId22" xr:uid="{00000000-0004-0000-0400-000016000000}"/>
    <hyperlink ref="K219" r:id="rId23" xr:uid="{00000000-0004-0000-0400-000017000000}"/>
    <hyperlink ref="K221" r:id="rId24" xr:uid="{00000000-0004-0000-0400-000018000000}"/>
    <hyperlink ref="K223" r:id="rId25" xr:uid="{00000000-0004-0000-0400-000019000000}"/>
    <hyperlink ref="K225" r:id="rId26" xr:uid="{00000000-0004-0000-0400-00001A000000}"/>
    <hyperlink ref="K227" r:id="rId27" xr:uid="{00000000-0004-0000-0400-00001B000000}"/>
    <hyperlink ref="K229" r:id="rId28" xr:uid="{00000000-0004-0000-0400-00001C000000}"/>
    <hyperlink ref="K231" r:id="rId29" xr:uid="{00000000-0004-0000-0400-00001D000000}"/>
    <hyperlink ref="K233" r:id="rId30" xr:uid="{00000000-0004-0000-0400-00001E000000}"/>
    <hyperlink ref="K235" r:id="rId31" xr:uid="{00000000-0004-0000-0400-00001F000000}"/>
    <hyperlink ref="K237" r:id="rId32" xr:uid="{00000000-0004-0000-0400-000020000000}"/>
    <hyperlink ref="K239" r:id="rId33" xr:uid="{00000000-0004-0000-0400-000021000000}"/>
    <hyperlink ref="K241" r:id="rId34" xr:uid="{00000000-0004-0000-0400-000022000000}"/>
    <hyperlink ref="K243" r:id="rId35" xr:uid="{00000000-0004-0000-0400-000023000000}"/>
    <hyperlink ref="K245" r:id="rId36" xr:uid="{00000000-0004-0000-0400-000024000000}"/>
    <hyperlink ref="K247" r:id="rId37" xr:uid="{00000000-0004-0000-0400-000025000000}"/>
    <hyperlink ref="K249" r:id="rId38" xr:uid="{00000000-0004-0000-0400-000026000000}"/>
    <hyperlink ref="K251" r:id="rId39" xr:uid="{00000000-0004-0000-0400-000027000000}"/>
    <hyperlink ref="K253" r:id="rId40" xr:uid="{00000000-0004-0000-0400-000028000000}"/>
    <hyperlink ref="K255" r:id="rId41" xr:uid="{00000000-0004-0000-0400-000029000000}"/>
    <hyperlink ref="K257" r:id="rId42" xr:uid="{00000000-0004-0000-0400-00002A000000}"/>
    <hyperlink ref="K259" r:id="rId43" xr:uid="{00000000-0004-0000-0400-00002B000000}"/>
    <hyperlink ref="K261" r:id="rId44" xr:uid="{00000000-0004-0000-0400-00002C000000}"/>
    <hyperlink ref="K263" r:id="rId45" xr:uid="{00000000-0004-0000-0400-00002D000000}"/>
    <hyperlink ref="K265" r:id="rId46" xr:uid="{00000000-0004-0000-0400-00002E000000}"/>
    <hyperlink ref="K267" r:id="rId47" xr:uid="{00000000-0004-0000-0400-00002F000000}"/>
    <hyperlink ref="K269" r:id="rId48" xr:uid="{00000000-0004-0000-0400-000030000000}"/>
    <hyperlink ref="K271" r:id="rId49" xr:uid="{00000000-0004-0000-0400-000031000000}"/>
    <hyperlink ref="K273" r:id="rId50" xr:uid="{00000000-0004-0000-0400-000032000000}"/>
    <hyperlink ref="K275" r:id="rId51" xr:uid="{00000000-0004-0000-0400-000033000000}"/>
    <hyperlink ref="K277" r:id="rId52" xr:uid="{00000000-0004-0000-0400-000034000000}"/>
    <hyperlink ref="K279" r:id="rId53" xr:uid="{00000000-0004-0000-0400-000035000000}"/>
    <hyperlink ref="K281" r:id="rId54" xr:uid="{00000000-0004-0000-0400-000036000000}"/>
    <hyperlink ref="K283" r:id="rId55" xr:uid="{00000000-0004-0000-0400-000037000000}"/>
    <hyperlink ref="K285" r:id="rId56" xr:uid="{00000000-0004-0000-0400-000038000000}"/>
    <hyperlink ref="K287" r:id="rId57" xr:uid="{00000000-0004-0000-0400-000039000000}"/>
    <hyperlink ref="K289" r:id="rId58" xr:uid="{00000000-0004-0000-0400-00003A000000}"/>
    <hyperlink ref="K291" r:id="rId59" xr:uid="{00000000-0004-0000-0400-00003B000000}"/>
    <hyperlink ref="K293" r:id="rId60" xr:uid="{00000000-0004-0000-0400-00003C000000}"/>
    <hyperlink ref="K295" r:id="rId61" xr:uid="{00000000-0004-0000-0400-00003D000000}"/>
    <hyperlink ref="K297" r:id="rId62" xr:uid="{00000000-0004-0000-0400-00003E000000}"/>
    <hyperlink ref="K299" r:id="rId63" xr:uid="{00000000-0004-0000-0400-00003F000000}"/>
    <hyperlink ref="K301" r:id="rId64" xr:uid="{00000000-0004-0000-0400-000040000000}"/>
    <hyperlink ref="K303" r:id="rId65" xr:uid="{00000000-0004-0000-0400-000041000000}"/>
    <hyperlink ref="K305" r:id="rId66" xr:uid="{00000000-0004-0000-0400-000042000000}"/>
    <hyperlink ref="K307" r:id="rId67" xr:uid="{00000000-0004-0000-0400-000043000000}"/>
    <hyperlink ref="K309" r:id="rId68" xr:uid="{00000000-0004-0000-0400-000044000000}"/>
    <hyperlink ref="K311" r:id="rId69" xr:uid="{00000000-0004-0000-0400-000045000000}"/>
    <hyperlink ref="K313" r:id="rId70" xr:uid="{00000000-0004-0000-0400-000046000000}"/>
    <hyperlink ref="K315" r:id="rId71" xr:uid="{00000000-0004-0000-0400-000047000000}"/>
    <hyperlink ref="K317" r:id="rId72" xr:uid="{00000000-0004-0000-0400-000048000000}"/>
    <hyperlink ref="K319" r:id="rId73" xr:uid="{00000000-0004-0000-0400-000049000000}"/>
    <hyperlink ref="K321" r:id="rId74" xr:uid="{00000000-0004-0000-0400-00004A000000}"/>
    <hyperlink ref="K323" r:id="rId75" xr:uid="{00000000-0004-0000-0400-00004B000000}"/>
    <hyperlink ref="K325" r:id="rId76" xr:uid="{00000000-0004-0000-0400-00004C000000}"/>
    <hyperlink ref="K327" r:id="rId77" xr:uid="{00000000-0004-0000-0400-00004D000000}"/>
    <hyperlink ref="K329" r:id="rId78" xr:uid="{00000000-0004-0000-0400-00004E000000}"/>
    <hyperlink ref="K331" r:id="rId79" xr:uid="{00000000-0004-0000-0400-00004F000000}"/>
    <hyperlink ref="K333" r:id="rId80" xr:uid="{00000000-0004-0000-0400-000050000000}"/>
    <hyperlink ref="K335" r:id="rId81" xr:uid="{00000000-0004-0000-0400-000051000000}"/>
    <hyperlink ref="K337" r:id="rId82" xr:uid="{00000000-0004-0000-0400-000052000000}"/>
    <hyperlink ref="K339" r:id="rId83" xr:uid="{00000000-0004-0000-0400-000053000000}"/>
    <hyperlink ref="K341" r:id="rId84" xr:uid="{00000000-0004-0000-0400-000054000000}"/>
    <hyperlink ref="K343" r:id="rId85" xr:uid="{00000000-0004-0000-0400-000055000000}"/>
    <hyperlink ref="K345" r:id="rId86" xr:uid="{00000000-0004-0000-0400-000056000000}"/>
    <hyperlink ref="K347" r:id="rId87" xr:uid="{00000000-0004-0000-0400-000057000000}"/>
    <hyperlink ref="K349" r:id="rId88" xr:uid="{00000000-0004-0000-0400-000058000000}"/>
    <hyperlink ref="K351" r:id="rId89" xr:uid="{00000000-0004-0000-0400-000059000000}"/>
    <hyperlink ref="K353" r:id="rId90" xr:uid="{00000000-0004-0000-0400-00005A000000}"/>
    <hyperlink ref="K355" r:id="rId91" xr:uid="{00000000-0004-0000-0400-00005B000000}"/>
    <hyperlink ref="K357" r:id="rId92" xr:uid="{00000000-0004-0000-0400-00005C000000}"/>
    <hyperlink ref="K359" r:id="rId93" xr:uid="{00000000-0004-0000-0400-00005D000000}"/>
    <hyperlink ref="K361" r:id="rId94" xr:uid="{00000000-0004-0000-0400-00005E000000}"/>
    <hyperlink ref="K363" r:id="rId95" xr:uid="{00000000-0004-0000-0400-00005F000000}"/>
    <hyperlink ref="K365" r:id="rId96" xr:uid="{00000000-0004-0000-0400-000060000000}"/>
    <hyperlink ref="K367" r:id="rId97" xr:uid="{00000000-0004-0000-0400-000061000000}"/>
    <hyperlink ref="K369" r:id="rId98" xr:uid="{00000000-0004-0000-0400-000062000000}"/>
    <hyperlink ref="K371" r:id="rId99" xr:uid="{00000000-0004-0000-0400-000063000000}"/>
    <hyperlink ref="K373" r:id="rId100" xr:uid="{00000000-0004-0000-0400-000064000000}"/>
    <hyperlink ref="K375" r:id="rId101" xr:uid="{00000000-0004-0000-0400-000065000000}"/>
    <hyperlink ref="K377" r:id="rId102" xr:uid="{00000000-0004-0000-0400-000066000000}"/>
    <hyperlink ref="K379" r:id="rId103" xr:uid="{00000000-0004-0000-0400-000067000000}"/>
    <hyperlink ref="K381" r:id="rId104" xr:uid="{00000000-0004-0000-0400-000068000000}"/>
    <hyperlink ref="K383" r:id="rId105" xr:uid="{00000000-0004-0000-0400-000069000000}"/>
    <hyperlink ref="K385" r:id="rId106" xr:uid="{00000000-0004-0000-0400-00006A000000}"/>
    <hyperlink ref="K387" r:id="rId107" xr:uid="{00000000-0004-0000-0400-00006B000000}"/>
    <hyperlink ref="K389" r:id="rId108" xr:uid="{00000000-0004-0000-0400-00006C000000}"/>
    <hyperlink ref="K391" r:id="rId109" xr:uid="{00000000-0004-0000-0400-00006D000000}"/>
    <hyperlink ref="K393" r:id="rId110" xr:uid="{00000000-0004-0000-0400-00006E000000}"/>
    <hyperlink ref="K395" r:id="rId111" xr:uid="{00000000-0004-0000-0400-00006F000000}"/>
    <hyperlink ref="K397" r:id="rId112" xr:uid="{00000000-0004-0000-0400-000070000000}"/>
    <hyperlink ref="K399" r:id="rId113" xr:uid="{00000000-0004-0000-0400-000071000000}"/>
    <hyperlink ref="K543" r:id="rId114" xr:uid="{00000000-0004-0000-0400-000072000000}"/>
    <hyperlink ref="K545" r:id="rId115" xr:uid="{00000000-0004-0000-0400-000073000000}"/>
    <hyperlink ref="K633" r:id="rId116" xr:uid="{00000000-0004-0000-0400-000074000000}"/>
    <hyperlink ref="K635" r:id="rId117" xr:uid="{00000000-0004-0000-0400-000075000000}"/>
    <hyperlink ref="K637" r:id="rId118" xr:uid="{00000000-0004-0000-0400-000076000000}"/>
    <hyperlink ref="K639" r:id="rId119" xr:uid="{00000000-0004-0000-0400-000077000000}"/>
    <hyperlink ref="K641" r:id="rId120" xr:uid="{00000000-0004-0000-0400-000078000000}"/>
    <hyperlink ref="K643" r:id="rId121" xr:uid="{00000000-0004-0000-0400-000079000000}"/>
    <hyperlink ref="K645" r:id="rId122" xr:uid="{00000000-0004-0000-0400-00007A000000}"/>
    <hyperlink ref="K647" r:id="rId123" xr:uid="{00000000-0004-0000-0400-00007B000000}"/>
    <hyperlink ref="K649" r:id="rId124" xr:uid="{00000000-0004-0000-0400-00007C000000}"/>
    <hyperlink ref="K651" r:id="rId125" xr:uid="{00000000-0004-0000-0400-00007D000000}"/>
    <hyperlink ref="K653" r:id="rId126" xr:uid="{00000000-0004-0000-0400-00007E000000}"/>
    <hyperlink ref="K655" r:id="rId127" xr:uid="{00000000-0004-0000-0400-00007F000000}"/>
    <hyperlink ref="K657" r:id="rId128" xr:uid="{00000000-0004-0000-0400-000080000000}"/>
    <hyperlink ref="K659" r:id="rId129" xr:uid="{00000000-0004-0000-0400-000081000000}"/>
    <hyperlink ref="K661" r:id="rId130" xr:uid="{00000000-0004-0000-0400-000082000000}"/>
    <hyperlink ref="K663" r:id="rId131" xr:uid="{00000000-0004-0000-0400-000083000000}"/>
    <hyperlink ref="K665" r:id="rId132" xr:uid="{00000000-0004-0000-0400-000084000000}"/>
    <hyperlink ref="K667" r:id="rId133" xr:uid="{00000000-0004-0000-0400-000085000000}"/>
    <hyperlink ref="K669" r:id="rId134" xr:uid="{00000000-0004-0000-0400-000086000000}"/>
    <hyperlink ref="K671" r:id="rId135" xr:uid="{00000000-0004-0000-0400-000087000000}"/>
    <hyperlink ref="K673" r:id="rId136" xr:uid="{00000000-0004-0000-0400-000088000000}"/>
    <hyperlink ref="K675" r:id="rId137" xr:uid="{00000000-0004-0000-0400-000089000000}"/>
    <hyperlink ref="K677" r:id="rId138" xr:uid="{00000000-0004-0000-0400-00008A000000}"/>
    <hyperlink ref="K679" r:id="rId139" xr:uid="{00000000-0004-0000-0400-00008B000000}"/>
    <hyperlink ref="K681" r:id="rId140" xr:uid="{00000000-0004-0000-0400-00008C000000}"/>
    <hyperlink ref="K683" r:id="rId141" xr:uid="{00000000-0004-0000-0400-00008D000000}"/>
    <hyperlink ref="K685" r:id="rId142" xr:uid="{00000000-0004-0000-0400-00008E000000}"/>
    <hyperlink ref="K687" r:id="rId143" xr:uid="{00000000-0004-0000-0400-00008F000000}"/>
    <hyperlink ref="K689" r:id="rId144" xr:uid="{00000000-0004-0000-0400-000090000000}"/>
    <hyperlink ref="K691" r:id="rId145" xr:uid="{00000000-0004-0000-0400-000091000000}"/>
    <hyperlink ref="K693" r:id="rId146" xr:uid="{00000000-0004-0000-0400-000092000000}"/>
    <hyperlink ref="K695" r:id="rId147" xr:uid="{00000000-0004-0000-0400-000093000000}"/>
    <hyperlink ref="K697" r:id="rId148" xr:uid="{00000000-0004-0000-0400-000094000000}"/>
    <hyperlink ref="K699" r:id="rId149" xr:uid="{00000000-0004-0000-0400-000095000000}"/>
    <hyperlink ref="K701" r:id="rId150" xr:uid="{00000000-0004-0000-0400-000096000000}"/>
    <hyperlink ref="K703" r:id="rId151" xr:uid="{00000000-0004-0000-0400-000097000000}"/>
    <hyperlink ref="K705" r:id="rId152" xr:uid="{00000000-0004-0000-0400-000098000000}"/>
    <hyperlink ref="K707" r:id="rId153" xr:uid="{00000000-0004-0000-0400-000099000000}"/>
    <hyperlink ref="K709" r:id="rId154" xr:uid="{00000000-0004-0000-0400-00009A000000}"/>
    <hyperlink ref="K711" r:id="rId155" xr:uid="{00000000-0004-0000-0400-00009B000000}"/>
    <hyperlink ref="K713" r:id="rId156" xr:uid="{00000000-0004-0000-0400-00009C000000}"/>
    <hyperlink ref="K715" r:id="rId157" xr:uid="{00000000-0004-0000-0400-00009D000000}"/>
  </hyperlinks>
  <printOptions horizontalCentered="1"/>
  <pageMargins left="0.25" right="0.25" top="0.35" bottom="0.35" header="0.15" footer="0.15"/>
  <pageSetup paperSize="8" fitToHeight="0" orientation="landscape"/>
  <headerFooter>
    <oddFooter>&amp;LObinna Okey-Udeji | NEXT plc&amp;CInformation through 5 Aug 2026&amp;RPage &amp;P of &amp;N</oddFooter>
  </headerFooter>
  <rowBreaks count="1" manualBreakCount="1">
    <brk id="172" max="16383" man="1"/>
  </rowBreaks>
  <drawing r:id="rId158"/>
  <legacyDrawing r:id="rId15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1364B"/>
  </sheetPr>
  <dimension ref="A1:N371"/>
  <sheetViews>
    <sheetView showGridLines="0" tabSelected="1" zoomScale="80" workbookViewId="0">
      <pane ySplit="7" topLeftCell="A8" activePane="bottomLeft" state="frozen"/>
      <selection pane="bottomLeft"/>
    </sheetView>
  </sheetViews>
  <sheetFormatPr baseColWidth="10" defaultColWidth="8.83203125" defaultRowHeight="14"/>
  <cols>
    <col min="1" max="2" width="2" customWidth="1"/>
    <col min="3" max="3" width="54" customWidth="1"/>
    <col min="4" max="6" width="3" customWidth="1"/>
    <col min="7" max="12" width="15" customWidth="1"/>
    <col min="13" max="13" width="3" customWidth="1"/>
    <col min="14" max="14" width="30" customWidth="1"/>
  </cols>
  <sheetData>
    <row r="1" spans="1:14" ht="22" customHeight="1">
      <c r="A1" s="59"/>
      <c r="B1" s="59"/>
      <c r="C1" s="61"/>
      <c r="D1" s="61"/>
      <c r="E1" s="61"/>
      <c r="F1" s="61"/>
      <c r="G1" s="61"/>
      <c r="H1" s="61"/>
      <c r="I1" s="61"/>
      <c r="J1" s="61"/>
      <c r="K1" s="61"/>
      <c r="L1" s="61"/>
      <c r="M1" s="59"/>
      <c r="N1" s="59"/>
    </row>
    <row r="2" spans="1:14" ht="22" customHeight="1">
      <c r="A2" s="59"/>
      <c r="B2" s="59"/>
      <c r="C2" s="95" t="s">
        <v>1304</v>
      </c>
      <c r="D2" s="61"/>
      <c r="E2" s="61"/>
      <c r="F2" s="61"/>
      <c r="G2" s="61"/>
      <c r="H2" s="61"/>
      <c r="I2" s="61"/>
      <c r="J2" s="61"/>
      <c r="K2" s="61"/>
      <c r="L2" s="61"/>
      <c r="M2" s="59"/>
      <c r="N2" s="59"/>
    </row>
    <row r="3" spans="1:14" ht="38" customHeight="1">
      <c r="A3" s="59"/>
      <c r="B3" s="59"/>
      <c r="C3" s="112" t="s">
        <v>1305</v>
      </c>
      <c r="D3" s="1"/>
      <c r="E3" s="1"/>
      <c r="F3" s="1"/>
      <c r="G3" s="1"/>
      <c r="H3" s="1"/>
      <c r="I3" s="1"/>
      <c r="J3" s="1"/>
      <c r="K3" s="1"/>
      <c r="L3" s="1"/>
      <c r="M3" s="59"/>
      <c r="N3" s="59"/>
    </row>
    <row r="4" spans="1:14" ht="22" customHeight="1">
      <c r="A4" s="59"/>
      <c r="B4" s="59"/>
      <c r="C4" s="68" t="s">
        <v>51</v>
      </c>
      <c r="D4" s="61"/>
      <c r="E4" s="61"/>
      <c r="F4" s="61"/>
      <c r="G4" s="61"/>
      <c r="H4" s="61"/>
      <c r="I4" s="61"/>
      <c r="J4" s="61"/>
      <c r="K4" s="61"/>
      <c r="L4" s="61"/>
      <c r="M4" s="59"/>
      <c r="N4" s="59"/>
    </row>
    <row r="5" spans="1:14" ht="40" customHeight="1">
      <c r="A5" s="59"/>
      <c r="B5" s="59"/>
      <c r="C5" s="112" t="s">
        <v>1306</v>
      </c>
      <c r="D5" s="1"/>
      <c r="E5" s="1"/>
      <c r="F5" s="1"/>
      <c r="G5" s="1"/>
      <c r="H5" s="1"/>
      <c r="I5" s="1"/>
      <c r="J5" s="1"/>
      <c r="K5" s="1"/>
      <c r="L5" s="1"/>
      <c r="M5" s="59"/>
      <c r="N5" s="59"/>
    </row>
    <row r="6" spans="1:14" ht="22" customHeight="1">
      <c r="A6" s="59"/>
      <c r="B6" s="59"/>
      <c r="C6" s="61"/>
      <c r="D6" s="61"/>
      <c r="E6" s="61"/>
      <c r="F6" s="61"/>
      <c r="G6" s="61"/>
      <c r="H6" s="61"/>
      <c r="I6" s="61"/>
      <c r="J6" s="61"/>
      <c r="K6" s="61"/>
      <c r="L6" s="61"/>
      <c r="M6" s="59"/>
      <c r="N6" s="59"/>
    </row>
    <row r="7" spans="1:14" ht="25" customHeight="1">
      <c r="A7" s="59"/>
      <c r="B7" s="59"/>
      <c r="C7" s="75" t="s">
        <v>1307</v>
      </c>
      <c r="D7" s="60"/>
      <c r="E7" s="60"/>
      <c r="F7" s="60"/>
      <c r="G7" s="60"/>
      <c r="H7" s="60"/>
      <c r="I7" s="60"/>
      <c r="J7" s="60"/>
      <c r="K7" s="60"/>
      <c r="L7" s="60"/>
      <c r="M7" s="59"/>
      <c r="N7" s="59"/>
    </row>
    <row r="8" spans="1:14" ht="32" customHeight="1">
      <c r="A8" s="59"/>
      <c r="B8" s="59"/>
      <c r="C8" s="68" t="s">
        <v>1308</v>
      </c>
      <c r="D8" s="61"/>
      <c r="E8" s="61"/>
      <c r="F8" s="61"/>
      <c r="G8" s="96">
        <f>G203</f>
        <v>100.96144560071743</v>
      </c>
      <c r="H8" s="112" t="s">
        <v>1309</v>
      </c>
      <c r="I8" s="1"/>
      <c r="J8" s="1"/>
      <c r="K8" s="1"/>
      <c r="L8" s="1"/>
      <c r="M8" s="59"/>
      <c r="N8" s="59"/>
    </row>
    <row r="9" spans="1:14" ht="32" customHeight="1">
      <c r="A9" s="59"/>
      <c r="B9" s="59"/>
      <c r="C9" s="68" t="s">
        <v>1310</v>
      </c>
      <c r="D9" s="61"/>
      <c r="E9" s="61"/>
      <c r="F9" s="61"/>
      <c r="G9" s="96">
        <f>G52</f>
        <v>155</v>
      </c>
      <c r="H9" s="112" t="s">
        <v>1311</v>
      </c>
      <c r="I9" s="1"/>
      <c r="J9" s="1"/>
      <c r="K9" s="1"/>
      <c r="L9" s="1"/>
      <c r="M9" s="59"/>
      <c r="N9" s="59"/>
    </row>
    <row r="10" spans="1:14" ht="32" customHeight="1">
      <c r="A10" s="59"/>
      <c r="B10" s="59"/>
      <c r="C10" s="68" t="s">
        <v>1312</v>
      </c>
      <c r="D10" s="61"/>
      <c r="E10" s="61"/>
      <c r="F10" s="61"/>
      <c r="G10" s="97">
        <f>G8/G9-1</f>
        <v>-0.34863583483408112</v>
      </c>
      <c r="H10" s="112" t="s">
        <v>1313</v>
      </c>
      <c r="I10" s="1"/>
      <c r="J10" s="1"/>
      <c r="K10" s="1"/>
      <c r="L10" s="1"/>
      <c r="M10" s="59"/>
      <c r="N10" s="59"/>
    </row>
    <row r="11" spans="1:14" ht="32" customHeight="1">
      <c r="A11" s="59"/>
      <c r="B11" s="59"/>
      <c r="C11" s="68" t="s">
        <v>1314</v>
      </c>
      <c r="D11" s="61"/>
      <c r="E11" s="61"/>
      <c r="F11" s="61"/>
      <c r="G11" s="98">
        <f>G178</f>
        <v>12677.742412128471</v>
      </c>
      <c r="H11" s="112" t="s">
        <v>1315</v>
      </c>
      <c r="I11" s="1"/>
      <c r="J11" s="1"/>
      <c r="K11" s="1"/>
      <c r="L11" s="1"/>
      <c r="M11" s="59"/>
      <c r="N11" s="59"/>
    </row>
    <row r="12" spans="1:14" ht="32" customHeight="1">
      <c r="A12" s="59"/>
      <c r="B12" s="59"/>
      <c r="C12" s="68" t="s">
        <v>1316</v>
      </c>
      <c r="D12" s="61"/>
      <c r="E12" s="61"/>
      <c r="F12" s="61"/>
      <c r="G12" s="98">
        <f>G200</f>
        <v>11757.16741212847</v>
      </c>
      <c r="H12" s="61"/>
      <c r="I12" s="61"/>
      <c r="J12" s="61"/>
      <c r="K12" s="61"/>
      <c r="L12" s="61"/>
      <c r="M12" s="59"/>
      <c r="N12" s="59"/>
    </row>
    <row r="13" spans="1:14" ht="32" customHeight="1">
      <c r="A13" s="59"/>
      <c r="B13" s="59"/>
      <c r="C13" s="68" t="s">
        <v>1317</v>
      </c>
      <c r="D13" s="61"/>
      <c r="E13" s="61"/>
      <c r="F13" s="61"/>
      <c r="G13" s="99">
        <f>G73</f>
        <v>9.8821445696698984E-2</v>
      </c>
      <c r="H13" s="112" t="s">
        <v>1318</v>
      </c>
      <c r="I13" s="1"/>
      <c r="J13" s="1"/>
      <c r="K13" s="1"/>
      <c r="L13" s="1"/>
      <c r="M13" s="59"/>
      <c r="N13" s="59"/>
    </row>
    <row r="14" spans="1:14" ht="32" customHeight="1">
      <c r="A14" s="59"/>
      <c r="B14" s="59"/>
      <c r="C14" s="68" t="s">
        <v>1319</v>
      </c>
      <c r="D14" s="61"/>
      <c r="E14" s="61"/>
      <c r="F14" s="61"/>
      <c r="G14" s="99">
        <f>G156</f>
        <v>0.02</v>
      </c>
      <c r="H14" s="112" t="s">
        <v>1320</v>
      </c>
      <c r="I14" s="1"/>
      <c r="J14" s="1"/>
      <c r="K14" s="1"/>
      <c r="L14" s="1"/>
      <c r="M14" s="59"/>
      <c r="N14" s="59"/>
    </row>
    <row r="15" spans="1:14" ht="32" customHeight="1">
      <c r="A15" s="59"/>
      <c r="B15" s="59"/>
      <c r="C15" s="68" t="s">
        <v>1321</v>
      </c>
      <c r="D15" s="61"/>
      <c r="E15" s="61"/>
      <c r="F15" s="61"/>
      <c r="G15" s="97">
        <f>G173</f>
        <v>0.5151394217507459</v>
      </c>
      <c r="H15" s="112" t="s">
        <v>1322</v>
      </c>
      <c r="I15" s="1"/>
      <c r="J15" s="1"/>
      <c r="K15" s="1"/>
      <c r="L15" s="1"/>
      <c r="M15" s="59"/>
      <c r="N15" s="59"/>
    </row>
    <row r="16" spans="1:14" ht="32" customHeight="1">
      <c r="A16" s="59"/>
      <c r="B16" s="59"/>
      <c r="C16" s="68" t="s">
        <v>1323</v>
      </c>
      <c r="D16" s="61"/>
      <c r="E16" s="61"/>
      <c r="F16" s="61"/>
      <c r="G16" s="100">
        <f>COUNTIFS(G218:G241,"FAIL")+COUNTIFS(G248:G257,"FAIL")</f>
        <v>0</v>
      </c>
      <c r="H16" s="112" t="s">
        <v>1324</v>
      </c>
      <c r="I16" s="1"/>
      <c r="J16" s="1"/>
      <c r="K16" s="1"/>
      <c r="L16" s="1"/>
      <c r="M16" s="59"/>
      <c r="N16" s="59"/>
    </row>
    <row r="17" spans="1:14" ht="22" customHeight="1">
      <c r="A17" s="59"/>
      <c r="B17" s="59"/>
      <c r="C17" s="61" t="s">
        <v>1325</v>
      </c>
      <c r="D17" s="61"/>
      <c r="E17" s="61"/>
      <c r="F17" s="61"/>
      <c r="G17" s="97">
        <f>G155</f>
        <v>0.2</v>
      </c>
      <c r="H17" s="61"/>
      <c r="I17" s="61"/>
      <c r="J17" s="61"/>
      <c r="K17" s="61"/>
      <c r="L17" s="61"/>
      <c r="M17" s="59"/>
      <c r="N17" s="59"/>
    </row>
    <row r="18" spans="1:14" ht="38" customHeight="1">
      <c r="A18" s="59"/>
      <c r="B18" s="59"/>
      <c r="C18" s="112" t="s">
        <v>1326</v>
      </c>
      <c r="D18" s="1"/>
      <c r="E18" s="1"/>
      <c r="F18" s="1"/>
      <c r="G18" s="1"/>
      <c r="H18" s="1"/>
      <c r="I18" s="1"/>
      <c r="J18" s="1"/>
      <c r="K18" s="1"/>
      <c r="L18" s="1"/>
      <c r="M18" s="59"/>
      <c r="N18" s="59"/>
    </row>
    <row r="19" spans="1:14" ht="22" customHeight="1">
      <c r="A19" s="59"/>
      <c r="B19" s="59"/>
      <c r="C19" s="61"/>
      <c r="D19" s="61"/>
      <c r="E19" s="61"/>
      <c r="F19" s="61"/>
      <c r="G19" s="61"/>
      <c r="H19" s="61"/>
      <c r="I19" s="61"/>
      <c r="J19" s="61"/>
      <c r="K19" s="61"/>
      <c r="L19" s="61"/>
      <c r="M19" s="59"/>
      <c r="N19" s="59"/>
    </row>
    <row r="20" spans="1:14" ht="25" customHeight="1">
      <c r="A20" s="59"/>
      <c r="B20" s="59"/>
      <c r="C20" s="75" t="s">
        <v>1327</v>
      </c>
      <c r="D20" s="60"/>
      <c r="E20" s="60"/>
      <c r="F20" s="60"/>
      <c r="G20" s="60"/>
      <c r="H20" s="60"/>
      <c r="I20" s="60"/>
      <c r="J20" s="60"/>
      <c r="K20" s="60"/>
      <c r="L20" s="60"/>
      <c r="M20" s="59"/>
      <c r="N20" s="59"/>
    </row>
    <row r="21" spans="1:14" ht="22" customHeight="1">
      <c r="A21" s="59"/>
      <c r="B21" s="59"/>
      <c r="C21" s="61"/>
      <c r="D21" s="61"/>
      <c r="E21" s="61"/>
      <c r="F21" s="61"/>
      <c r="G21" s="61"/>
      <c r="H21" s="61"/>
      <c r="I21" s="61"/>
      <c r="J21" s="61"/>
      <c r="K21" s="61"/>
      <c r="L21" s="61"/>
      <c r="M21" s="59"/>
      <c r="N21" s="59"/>
    </row>
    <row r="22" spans="1:14" ht="34" customHeight="1">
      <c r="A22" s="59"/>
      <c r="B22" s="59"/>
      <c r="C22" s="112" t="s">
        <v>1328</v>
      </c>
      <c r="D22" s="1"/>
      <c r="E22" s="1"/>
      <c r="F22" s="1"/>
      <c r="G22" s="1"/>
      <c r="H22" s="1"/>
      <c r="I22" s="1"/>
      <c r="J22" s="1"/>
      <c r="K22" s="1"/>
      <c r="L22" s="1"/>
      <c r="M22" s="59"/>
      <c r="N22" s="59"/>
    </row>
    <row r="23" spans="1:14" ht="22" customHeight="1">
      <c r="A23" s="59"/>
      <c r="B23" s="59"/>
      <c r="C23" s="61"/>
      <c r="D23" s="61"/>
      <c r="E23" s="61"/>
      <c r="F23" s="61"/>
      <c r="G23" s="61"/>
      <c r="H23" s="61"/>
      <c r="I23" s="61"/>
      <c r="J23" s="61"/>
      <c r="K23" s="61"/>
      <c r="L23" s="61"/>
      <c r="M23" s="59"/>
      <c r="N23" s="59"/>
    </row>
    <row r="24" spans="1:14" ht="22" customHeight="1">
      <c r="A24" s="59"/>
      <c r="B24" s="59"/>
      <c r="C24" s="61"/>
      <c r="D24" s="61"/>
      <c r="E24" s="61"/>
      <c r="F24" s="61"/>
      <c r="G24" s="61"/>
      <c r="H24" s="61"/>
      <c r="I24" s="61"/>
      <c r="J24" s="61"/>
      <c r="K24" s="61"/>
      <c r="L24" s="61"/>
      <c r="M24" s="59"/>
      <c r="N24" s="59"/>
    </row>
    <row r="25" spans="1:14" ht="22" customHeight="1">
      <c r="A25" s="59"/>
      <c r="B25" s="59"/>
      <c r="C25" s="61"/>
      <c r="D25" s="61"/>
      <c r="E25" s="61"/>
      <c r="F25" s="61"/>
      <c r="G25" s="101">
        <f>G203</f>
        <v>100.96144560071743</v>
      </c>
      <c r="H25" s="102">
        <f>$G$156+-2*$G$76</f>
        <v>0.01</v>
      </c>
      <c r="I25" s="102">
        <f>$G$156+-1*$G$76</f>
        <v>1.4999999999999999E-2</v>
      </c>
      <c r="J25" s="102">
        <f>$G$156+0*$G$76</f>
        <v>0.02</v>
      </c>
      <c r="K25" s="102">
        <f>$G$156+1*$G$76</f>
        <v>2.5000000000000001E-2</v>
      </c>
      <c r="L25" s="102">
        <f>$G$156+2*$G$76</f>
        <v>0.03</v>
      </c>
      <c r="M25" s="59"/>
      <c r="N25" s="59"/>
    </row>
    <row r="26" spans="1:14" ht="22" customHeight="1">
      <c r="A26" s="59"/>
      <c r="B26" s="59"/>
      <c r="C26" s="61"/>
      <c r="D26" s="61"/>
      <c r="E26" s="61"/>
      <c r="F26" s="61"/>
      <c r="G26" s="103">
        <f>$G$73+-4*$G$75</f>
        <v>7.882144569669898E-2</v>
      </c>
      <c r="H26" s="62">
        <f t="shared" ref="H26:L34" si="0">(SUM($H$109/(1+$G26)^$H$87,$I$109/(1+$G26)^$I$87,$J$109/(1+$G26)^$J$87,$K$109/(1+$G26)^$K$87,$L$109/(1+$G26)^$L$87)+SUM($H$134*(1-$H$129/$G$155)/(1+$G26)^$H$139,$I$134*(1-$I$129/$G$155)/(1+$G26)^$I$139,$J$134*(1-$J$129/$G$155)/(1+$G26)^$J$139,$K$134*(1-$K$129/$G$155)/(1+$G26)^$K$139,$L$134*(1-$L$129/$G$155)/(1+$G26)^$L$139)+($L$130*(1+H$25)*$G$153*(1-$G$154)*(1-H$25/$G$155)/($G26-H$25)/(1+$G26)^$L$139)+$G$199)/$G$201</f>
        <v>129.48084953348064</v>
      </c>
      <c r="I26" s="62">
        <f t="shared" si="0"/>
        <v>133.88110263735487</v>
      </c>
      <c r="J26" s="62">
        <f t="shared" si="0"/>
        <v>139.00510852848481</v>
      </c>
      <c r="K26" s="62">
        <f t="shared" si="0"/>
        <v>145.05457661226279</v>
      </c>
      <c r="L26" s="62">
        <f t="shared" si="0"/>
        <v>152.31384776986553</v>
      </c>
      <c r="M26" s="59"/>
      <c r="N26" s="59"/>
    </row>
    <row r="27" spans="1:14" ht="22" customHeight="1">
      <c r="A27" s="59"/>
      <c r="B27" s="59"/>
      <c r="C27" s="61"/>
      <c r="D27" s="61"/>
      <c r="E27" s="61"/>
      <c r="F27" s="61"/>
      <c r="G27" s="103">
        <f>$G$73+-3*$G$75</f>
        <v>8.3821445696698985E-2</v>
      </c>
      <c r="H27" s="62">
        <f t="shared" si="0"/>
        <v>119.64945981784516</v>
      </c>
      <c r="I27" s="62">
        <f t="shared" si="0"/>
        <v>123.18086691692763</v>
      </c>
      <c r="J27" s="62">
        <f t="shared" si="0"/>
        <v>127.24414033312252</v>
      </c>
      <c r="K27" s="62">
        <f t="shared" si="0"/>
        <v>131.97491078176151</v>
      </c>
      <c r="L27" s="62">
        <f t="shared" si="0"/>
        <v>137.55920922795625</v>
      </c>
      <c r="M27" s="59"/>
      <c r="N27" s="59"/>
    </row>
    <row r="28" spans="1:14" ht="22" customHeight="1">
      <c r="A28" s="59"/>
      <c r="B28" s="59"/>
      <c r="C28" s="61"/>
      <c r="D28" s="61"/>
      <c r="E28" s="61"/>
      <c r="F28" s="61"/>
      <c r="G28" s="103">
        <f>$G$73+-2*$G$75</f>
        <v>8.8821445696698989E-2</v>
      </c>
      <c r="H28" s="62">
        <f t="shared" si="0"/>
        <v>111.08487304988324</v>
      </c>
      <c r="I28" s="62">
        <f t="shared" si="0"/>
        <v>113.94489343034793</v>
      </c>
      <c r="J28" s="62">
        <f t="shared" si="0"/>
        <v>117.20142567560892</v>
      </c>
      <c r="K28" s="62">
        <f t="shared" si="0"/>
        <v>120.94766225266564</v>
      </c>
      <c r="L28" s="62">
        <f t="shared" si="0"/>
        <v>125.3084821897353</v>
      </c>
      <c r="M28" s="59"/>
      <c r="N28" s="59"/>
    </row>
    <row r="29" spans="1:14" ht="22" customHeight="1">
      <c r="A29" s="59"/>
      <c r="B29" s="59"/>
      <c r="C29" s="61"/>
      <c r="D29" s="61"/>
      <c r="E29" s="61"/>
      <c r="F29" s="61"/>
      <c r="G29" s="103">
        <f>$G$73+-1*$G$75</f>
        <v>9.382144569669898E-2</v>
      </c>
      <c r="H29" s="62">
        <f t="shared" si="0"/>
        <v>103.5595767605828</v>
      </c>
      <c r="I29" s="62">
        <f t="shared" si="0"/>
        <v>105.8939220879975</v>
      </c>
      <c r="J29" s="62">
        <f t="shared" si="0"/>
        <v>108.52746206647896</v>
      </c>
      <c r="K29" s="62">
        <f t="shared" si="0"/>
        <v>111.52540776098762</v>
      </c>
      <c r="L29" s="62">
        <f t="shared" si="0"/>
        <v>114.97340570742914</v>
      </c>
      <c r="M29" s="59"/>
      <c r="N29" s="59"/>
    </row>
    <row r="30" spans="1:14" ht="22" customHeight="1">
      <c r="A30" s="59"/>
      <c r="B30" s="59"/>
      <c r="C30" s="61"/>
      <c r="D30" s="61"/>
      <c r="E30" s="61"/>
      <c r="F30" s="61"/>
      <c r="G30" s="103">
        <f>$G$73+0*$G$75</f>
        <v>9.8821445696698984E-2</v>
      </c>
      <c r="H30" s="62">
        <f t="shared" si="0"/>
        <v>96.897326521987139</v>
      </c>
      <c r="I30" s="62">
        <f t="shared" si="0"/>
        <v>98.815353334025303</v>
      </c>
      <c r="J30" s="104">
        <f t="shared" si="0"/>
        <v>100.96144560071743</v>
      </c>
      <c r="K30" s="62">
        <f t="shared" si="0"/>
        <v>103.38194462285384</v>
      </c>
      <c r="L30" s="62">
        <f t="shared" si="0"/>
        <v>106.13665881175166</v>
      </c>
      <c r="M30" s="59"/>
      <c r="N30" s="59"/>
    </row>
    <row r="31" spans="1:14" ht="22" customHeight="1">
      <c r="A31" s="59"/>
      <c r="B31" s="59"/>
      <c r="C31" s="61"/>
      <c r="D31" s="61"/>
      <c r="E31" s="61"/>
      <c r="F31" s="61"/>
      <c r="G31" s="103">
        <f>$G$73+1*$G$75</f>
        <v>0.10382144569669899</v>
      </c>
      <c r="H31" s="62">
        <f t="shared" si="0"/>
        <v>90.959482840759421</v>
      </c>
      <c r="I31" s="62">
        <f t="shared" si="0"/>
        <v>92.544484168321944</v>
      </c>
      <c r="J31" s="62">
        <f t="shared" si="0"/>
        <v>94.304815515892074</v>
      </c>
      <c r="K31" s="62">
        <f t="shared" si="0"/>
        <v>96.273842806625154</v>
      </c>
      <c r="L31" s="62">
        <f t="shared" si="0"/>
        <v>98.493971592429688</v>
      </c>
      <c r="M31" s="59"/>
      <c r="N31" s="59"/>
    </row>
    <row r="32" spans="1:14" ht="22" customHeight="1">
      <c r="A32" s="59"/>
      <c r="B32" s="59"/>
      <c r="C32" s="61"/>
      <c r="D32" s="61"/>
      <c r="E32" s="61"/>
      <c r="F32" s="61"/>
      <c r="G32" s="103">
        <f>$G$73+2*$G$75</f>
        <v>0.10882144569669898</v>
      </c>
      <c r="H32" s="62">
        <f t="shared" si="0"/>
        <v>85.635495984207395</v>
      </c>
      <c r="I32" s="62">
        <f t="shared" si="0"/>
        <v>86.951744151334225</v>
      </c>
      <c r="J32" s="62">
        <f t="shared" si="0"/>
        <v>88.403734285809236</v>
      </c>
      <c r="K32" s="62">
        <f t="shared" si="0"/>
        <v>90.015757659314744</v>
      </c>
      <c r="L32" s="62">
        <f t="shared" si="0"/>
        <v>91.81826916346354</v>
      </c>
      <c r="M32" s="59"/>
      <c r="N32" s="59"/>
    </row>
    <row r="33" spans="1:14" ht="22" customHeight="1">
      <c r="A33" s="59"/>
      <c r="B33" s="59"/>
      <c r="C33" s="61"/>
      <c r="D33" s="61"/>
      <c r="E33" s="61"/>
      <c r="F33" s="61"/>
      <c r="G33" s="103">
        <f>$G$73+3*$G$75</f>
        <v>0.11382144569669898</v>
      </c>
      <c r="H33" s="62">
        <f t="shared" si="0"/>
        <v>80.836140392055214</v>
      </c>
      <c r="I33" s="62">
        <f t="shared" si="0"/>
        <v>81.933806348010833</v>
      </c>
      <c r="J33" s="62">
        <f t="shared" si="0"/>
        <v>83.137169854200181</v>
      </c>
      <c r="K33" s="62">
        <f t="shared" si="0"/>
        <v>84.464080915665008</v>
      </c>
      <c r="L33" s="62">
        <f t="shared" si="0"/>
        <v>85.936648591891625</v>
      </c>
      <c r="M33" s="59"/>
      <c r="N33" s="59"/>
    </row>
    <row r="34" spans="1:14" ht="22" customHeight="1">
      <c r="A34" s="59"/>
      <c r="B34" s="59"/>
      <c r="C34" s="61"/>
      <c r="D34" s="61"/>
      <c r="E34" s="61"/>
      <c r="F34" s="61"/>
      <c r="G34" s="103">
        <f>$G$73+4*$G$75</f>
        <v>0.11882144569669899</v>
      </c>
      <c r="H34" s="62">
        <f t="shared" si="0"/>
        <v>76.488614324466411</v>
      </c>
      <c r="I34" s="62">
        <f t="shared" si="0"/>
        <v>77.407266897654679</v>
      </c>
      <c r="J34" s="62">
        <f t="shared" si="0"/>
        <v>78.40859587306997</v>
      </c>
      <c r="K34" s="62">
        <f t="shared" si="0"/>
        <v>79.505819401681933</v>
      </c>
      <c r="L34" s="62">
        <f t="shared" si="0"/>
        <v>80.715131976686024</v>
      </c>
      <c r="M34" s="59"/>
      <c r="N34" s="59"/>
    </row>
    <row r="35" spans="1:14" ht="22" customHeight="1">
      <c r="A35" s="59"/>
      <c r="B35" s="59"/>
      <c r="C35" s="61"/>
      <c r="D35" s="61"/>
      <c r="E35" s="61"/>
      <c r="F35" s="61"/>
      <c r="G35" s="61"/>
      <c r="H35" s="61"/>
      <c r="I35" s="61"/>
      <c r="J35" s="61"/>
      <c r="K35" s="61"/>
      <c r="L35" s="61"/>
      <c r="M35" s="59"/>
      <c r="N35" s="59"/>
    </row>
    <row r="36" spans="1:14" ht="38" customHeight="1">
      <c r="A36" s="59"/>
      <c r="B36" s="59"/>
      <c r="C36" s="112" t="s">
        <v>1329</v>
      </c>
      <c r="D36" s="1"/>
      <c r="E36" s="1"/>
      <c r="F36" s="1"/>
      <c r="G36" s="1"/>
      <c r="H36" s="1"/>
      <c r="I36" s="1"/>
      <c r="J36" s="1"/>
      <c r="K36" s="1"/>
      <c r="L36" s="1"/>
      <c r="M36" s="59"/>
      <c r="N36" s="59"/>
    </row>
    <row r="37" spans="1:14" ht="30" customHeight="1">
      <c r="A37" s="59"/>
      <c r="B37" s="59"/>
      <c r="C37" s="61"/>
      <c r="D37" s="61"/>
      <c r="E37" s="61"/>
      <c r="F37" s="61"/>
      <c r="G37" s="61"/>
      <c r="H37" s="61"/>
      <c r="I37" s="61"/>
      <c r="J37" s="61"/>
      <c r="K37" s="61"/>
      <c r="L37" s="61"/>
      <c r="M37" s="59"/>
      <c r="N37" s="59"/>
    </row>
    <row r="38" spans="1:14" ht="25" customHeight="1">
      <c r="A38" s="59"/>
      <c r="B38" s="59"/>
      <c r="C38" s="60" t="s">
        <v>1330</v>
      </c>
      <c r="D38" s="60"/>
      <c r="E38" s="60"/>
      <c r="F38" s="60"/>
      <c r="G38" s="60"/>
      <c r="H38" s="60"/>
      <c r="I38" s="60"/>
      <c r="J38" s="60"/>
      <c r="K38" s="60"/>
      <c r="L38" s="60"/>
      <c r="M38" s="59"/>
      <c r="N38" s="59"/>
    </row>
    <row r="39" spans="1:14" ht="30" customHeight="1">
      <c r="A39" s="59"/>
      <c r="B39" s="59"/>
      <c r="C39" s="61"/>
      <c r="D39" s="61"/>
      <c r="E39" s="61"/>
      <c r="F39" s="61"/>
      <c r="G39" s="61"/>
      <c r="H39" s="61"/>
      <c r="I39" s="61"/>
      <c r="J39" s="61"/>
      <c r="K39" s="61"/>
      <c r="L39" s="61"/>
      <c r="M39" s="59"/>
      <c r="N39" s="59"/>
    </row>
    <row r="40" spans="1:14" ht="23" customHeight="1">
      <c r="A40" s="59"/>
      <c r="B40" s="59"/>
      <c r="C40" s="61" t="s">
        <v>1331</v>
      </c>
      <c r="D40" s="61"/>
      <c r="E40" s="61"/>
      <c r="F40" s="61"/>
      <c r="G40" s="61"/>
      <c r="H40" s="79">
        <v>0.15</v>
      </c>
      <c r="I40" s="65">
        <f>G155</f>
        <v>0.2</v>
      </c>
      <c r="J40" s="79">
        <v>0.25</v>
      </c>
      <c r="K40" s="61"/>
      <c r="L40" s="61"/>
      <c r="M40" s="59"/>
      <c r="N40" s="59"/>
    </row>
    <row r="41" spans="1:14" ht="23" customHeight="1">
      <c r="A41" s="59"/>
      <c r="B41" s="59"/>
      <c r="C41" s="61" t="s">
        <v>1332</v>
      </c>
      <c r="D41" s="61"/>
      <c r="E41" s="61"/>
      <c r="F41" s="61"/>
      <c r="G41" s="61"/>
      <c r="H41" s="62">
        <f>(SUM($H$109/(1+$G$74)^$H$87,$I$109/(1+$G$74)^$I$87,$J$109/(1+$G$74)^$J$87,$K$109/(1+$G$74)^$K$87,$L$109/(1+$G$74)^$L$87)+SUM($H$134*(1-$H$129/H$40)/(1+$G$74)^$H$139,$I$134*(1-$I$129/H$40)/(1+$G$74)^$I$139,$J$134*(1-$J$129/H$40)/(1+$G$74)^$J$139,$K$134*(1-$K$129/H$40)/(1+$G$74)^$K$139,$L$134*(1-$L$129/H$40)/(1+$G$74)^$L$139)+($L$130*(1+$G$156)*$G$153*(1-$G$154)*(1-$G$156/H$40)/($G$74-$G$156)/(1+$G$74)^$L$139)+$G$199)/$G$201</f>
        <v>97.463697246278173</v>
      </c>
      <c r="I41" s="66">
        <f>(SUM($H$109/(1+$G$74)^$H$87,$I$109/(1+$G$74)^$I$87,$J$109/(1+$G$74)^$J$87,$K$109/(1+$G$74)^$K$87,$L$109/(1+$G$74)^$L$87)+SUM($H$134*(1-$H$129/I$40)/(1+$G$74)^$H$139,$I$134*(1-$I$129/I$40)/(1+$G$74)^$I$139,$J$134*(1-$J$129/I$40)/(1+$G$74)^$J$139,$K$134*(1-$K$129/I$40)/(1+$G$74)^$K$139,$L$134*(1-$L$129/I$40)/(1+$G$74)^$L$139)+($L$130*(1+$G$156)*$G$153*(1-$G$154)*(1-$G$156/I$40)/($G$74-$G$156)/(1+$G$74)^$L$139)+$G$199)/$G$201</f>
        <v>100.96144560071743</v>
      </c>
      <c r="J41" s="62">
        <f>(SUM($H$109/(1+$G$74)^$H$87,$I$109/(1+$G$74)^$I$87,$J$109/(1+$G$74)^$J$87,$K$109/(1+$G$74)^$K$87,$L$109/(1+$G$74)^$L$87)+SUM($H$134*(1-$H$129/J$40)/(1+$G$74)^$H$139,$I$134*(1-$I$129/J$40)/(1+$G$74)^$I$139,$J$134*(1-$J$129/J$40)/(1+$G$74)^$J$139,$K$134*(1-$K$129/J$40)/(1+$G$74)^$K$139,$L$134*(1-$L$129/J$40)/(1+$G$74)^$L$139)+($L$130*(1+$G$156)*$G$153*(1-$G$154)*(1-$G$156/J$40)/($G$74-$G$156)/(1+$G$74)^$L$139)+$G$199)/$G$201</f>
        <v>103.06009461338098</v>
      </c>
      <c r="K41" s="61"/>
      <c r="L41" s="61"/>
      <c r="M41" s="59"/>
      <c r="N41" s="59"/>
    </row>
    <row r="42" spans="1:14" ht="23" customHeight="1">
      <c r="A42" s="59"/>
      <c r="B42" s="59"/>
      <c r="C42" s="61" t="s">
        <v>8</v>
      </c>
      <c r="D42" s="61"/>
      <c r="E42" s="61"/>
      <c r="F42" s="61"/>
      <c r="G42" s="61"/>
      <c r="H42" s="62" t="s">
        <v>1333</v>
      </c>
      <c r="I42" s="67" t="s">
        <v>1334</v>
      </c>
      <c r="J42" s="62" t="s">
        <v>1335</v>
      </c>
      <c r="K42" s="61"/>
      <c r="L42" s="61"/>
      <c r="M42" s="59"/>
      <c r="N42" s="59"/>
    </row>
    <row r="43" spans="1:14" ht="30" customHeight="1">
      <c r="A43" s="59"/>
      <c r="B43" s="59"/>
      <c r="C43" s="61"/>
      <c r="D43" s="61"/>
      <c r="E43" s="61"/>
      <c r="F43" s="61"/>
      <c r="G43" s="61"/>
      <c r="H43" s="61"/>
      <c r="I43" s="61"/>
      <c r="J43" s="61"/>
      <c r="K43" s="61"/>
      <c r="L43" s="61"/>
      <c r="M43" s="59"/>
      <c r="N43" s="59"/>
    </row>
    <row r="44" spans="1:14" ht="34" customHeight="1">
      <c r="A44" s="59"/>
      <c r="B44" s="59"/>
      <c r="C44" s="115" t="s">
        <v>1336</v>
      </c>
      <c r="D44" s="115"/>
      <c r="E44" s="115"/>
      <c r="F44" s="115"/>
      <c r="G44" s="115"/>
      <c r="H44" s="115"/>
      <c r="I44" s="115"/>
      <c r="J44" s="115"/>
      <c r="K44" s="115"/>
      <c r="L44" s="115"/>
      <c r="M44" s="59"/>
      <c r="N44" s="59"/>
    </row>
    <row r="45" spans="1:14" ht="30" customHeight="1">
      <c r="A45" s="59"/>
      <c r="B45" s="59"/>
      <c r="C45" s="61"/>
      <c r="D45" s="61"/>
      <c r="E45" s="61"/>
      <c r="F45" s="61"/>
      <c r="G45" s="61"/>
      <c r="H45" s="61"/>
      <c r="I45" s="61"/>
      <c r="J45" s="61"/>
      <c r="K45" s="61"/>
      <c r="L45" s="61"/>
      <c r="M45" s="59"/>
      <c r="N45" s="59"/>
    </row>
    <row r="46" spans="1:14" ht="30" customHeight="1">
      <c r="A46" s="59"/>
      <c r="B46" s="59"/>
      <c r="C46" s="61"/>
      <c r="D46" s="61"/>
      <c r="E46" s="61"/>
      <c r="F46" s="61"/>
      <c r="G46" s="61"/>
      <c r="H46" s="61"/>
      <c r="I46" s="61"/>
      <c r="J46" s="61"/>
      <c r="K46" s="61"/>
      <c r="L46" s="61"/>
      <c r="M46" s="59"/>
      <c r="N46" s="59"/>
    </row>
    <row r="47" spans="1:14" ht="30" customHeight="1">
      <c r="A47" s="59"/>
      <c r="B47" s="59"/>
      <c r="C47" s="61"/>
      <c r="D47" s="61"/>
      <c r="E47" s="61"/>
      <c r="F47" s="61"/>
      <c r="G47" s="61"/>
      <c r="H47" s="61"/>
      <c r="I47" s="61"/>
      <c r="J47" s="61"/>
      <c r="K47" s="61"/>
      <c r="L47" s="61"/>
      <c r="M47" s="59"/>
      <c r="N47" s="59"/>
    </row>
    <row r="48" spans="1:14" ht="25" customHeight="1">
      <c r="A48" s="59"/>
      <c r="B48" s="59"/>
      <c r="C48" s="75" t="s">
        <v>1337</v>
      </c>
      <c r="D48" s="60"/>
      <c r="E48" s="60"/>
      <c r="F48" s="60"/>
      <c r="G48" s="60"/>
      <c r="H48" s="60"/>
      <c r="I48" s="60"/>
      <c r="J48" s="60"/>
      <c r="K48" s="60"/>
      <c r="L48" s="60"/>
      <c r="M48" s="59"/>
      <c r="N48" s="59"/>
    </row>
    <row r="49" spans="1:14" ht="22" customHeight="1">
      <c r="A49" s="59"/>
      <c r="B49" s="59"/>
      <c r="C49" s="68" t="s">
        <v>1338</v>
      </c>
      <c r="D49" s="61"/>
      <c r="E49" s="61"/>
      <c r="F49" s="61"/>
      <c r="G49" s="76">
        <v>46272</v>
      </c>
      <c r="H49" s="61"/>
      <c r="I49" s="61"/>
      <c r="J49" s="61"/>
      <c r="K49" s="61"/>
      <c r="L49" s="61"/>
      <c r="M49" s="59"/>
      <c r="N49" s="59"/>
    </row>
    <row r="50" spans="1:14" ht="22" customHeight="1">
      <c r="A50" s="59"/>
      <c r="B50" s="59"/>
      <c r="C50" s="68" t="s">
        <v>1339</v>
      </c>
      <c r="D50" s="61"/>
      <c r="E50" s="61"/>
      <c r="F50" s="61"/>
      <c r="G50" s="76">
        <v>46053</v>
      </c>
      <c r="H50" s="61"/>
      <c r="I50" s="61"/>
      <c r="J50" s="61"/>
      <c r="K50" s="61"/>
      <c r="L50" s="61"/>
      <c r="M50" s="59"/>
      <c r="N50" s="59"/>
    </row>
    <row r="51" spans="1:14" ht="30" customHeight="1">
      <c r="A51" s="59"/>
      <c r="B51" s="59"/>
      <c r="C51" s="68" t="s">
        <v>1340</v>
      </c>
      <c r="D51" s="61"/>
      <c r="E51" s="61"/>
      <c r="F51" s="61"/>
      <c r="G51" s="86">
        <v>15500</v>
      </c>
      <c r="H51" s="112" t="s">
        <v>1341</v>
      </c>
      <c r="I51" s="1"/>
      <c r="J51" s="1"/>
      <c r="K51" s="1"/>
      <c r="L51" s="1"/>
      <c r="M51" s="59"/>
      <c r="N51" s="59"/>
    </row>
    <row r="52" spans="1:14" ht="30" customHeight="1">
      <c r="A52" s="59"/>
      <c r="B52" s="59"/>
      <c r="C52" s="68" t="s">
        <v>1342</v>
      </c>
      <c r="D52" s="61"/>
      <c r="E52" s="61"/>
      <c r="F52" s="61"/>
      <c r="G52" s="62">
        <f>G51/G78</f>
        <v>155</v>
      </c>
      <c r="H52" s="112" t="s">
        <v>1343</v>
      </c>
      <c r="I52" s="1"/>
      <c r="J52" s="1"/>
      <c r="K52" s="1"/>
      <c r="L52" s="1"/>
      <c r="M52" s="59"/>
      <c r="N52" s="59"/>
    </row>
    <row r="53" spans="1:14" ht="30" customHeight="1">
      <c r="A53" s="59"/>
      <c r="B53" s="59"/>
      <c r="C53" s="68" t="s">
        <v>1344</v>
      </c>
      <c r="D53" s="61"/>
      <c r="E53" s="61"/>
      <c r="F53" s="61"/>
      <c r="G53" s="87">
        <v>119.656811</v>
      </c>
      <c r="H53" s="112" t="s">
        <v>1345</v>
      </c>
      <c r="I53" s="1"/>
      <c r="J53" s="1"/>
      <c r="K53" s="1"/>
      <c r="L53" s="1"/>
      <c r="M53" s="59"/>
      <c r="N53" s="59"/>
    </row>
    <row r="54" spans="1:14" ht="30" customHeight="1">
      <c r="A54" s="59"/>
      <c r="B54" s="59"/>
      <c r="C54" s="68" t="s">
        <v>1346</v>
      </c>
      <c r="D54" s="61"/>
      <c r="E54" s="61"/>
      <c r="F54" s="61"/>
      <c r="G54" s="87">
        <v>5.5047600000000001</v>
      </c>
      <c r="H54" s="112" t="s">
        <v>1347</v>
      </c>
      <c r="I54" s="1"/>
      <c r="J54" s="1"/>
      <c r="K54" s="1"/>
      <c r="L54" s="1"/>
      <c r="M54" s="59"/>
      <c r="N54" s="59"/>
    </row>
    <row r="55" spans="1:14" ht="30" customHeight="1">
      <c r="A55" s="59"/>
      <c r="B55" s="59"/>
      <c r="C55" s="68" t="s">
        <v>1348</v>
      </c>
      <c r="D55" s="61"/>
      <c r="E55" s="61"/>
      <c r="F55" s="61"/>
      <c r="G55" s="87">
        <v>0</v>
      </c>
      <c r="H55" s="112" t="s">
        <v>1349</v>
      </c>
      <c r="I55" s="1"/>
      <c r="J55" s="1"/>
      <c r="K55" s="1"/>
      <c r="L55" s="1"/>
      <c r="M55" s="59"/>
      <c r="N55" s="59"/>
    </row>
    <row r="56" spans="1:14" ht="30" customHeight="1">
      <c r="A56" s="59"/>
      <c r="B56" s="59"/>
      <c r="C56" s="68" t="s">
        <v>1350</v>
      </c>
      <c r="D56" s="61"/>
      <c r="E56" s="61"/>
      <c r="F56" s="61"/>
      <c r="G56" s="71">
        <f>G53-G54-G55</f>
        <v>114.152051</v>
      </c>
      <c r="H56" s="112" t="s">
        <v>1351</v>
      </c>
      <c r="I56" s="1"/>
      <c r="J56" s="1"/>
      <c r="K56" s="1"/>
      <c r="L56" s="1"/>
      <c r="M56" s="59"/>
      <c r="N56" s="59"/>
    </row>
    <row r="57" spans="1:14" ht="30" customHeight="1">
      <c r="A57" s="59"/>
      <c r="B57" s="59"/>
      <c r="C57" s="68" t="s">
        <v>1352</v>
      </c>
      <c r="D57" s="61"/>
      <c r="E57" s="61"/>
      <c r="F57" s="61"/>
      <c r="G57" s="87">
        <v>2.2999999999999998</v>
      </c>
      <c r="H57" s="112" t="s">
        <v>1353</v>
      </c>
      <c r="I57" s="1"/>
      <c r="J57" s="1"/>
      <c r="K57" s="1"/>
      <c r="L57" s="1"/>
      <c r="M57" s="59"/>
      <c r="N57" s="59"/>
    </row>
    <row r="58" spans="1:14" ht="30" customHeight="1">
      <c r="A58" s="59"/>
      <c r="B58" s="59"/>
      <c r="C58" s="68" t="s">
        <v>1354</v>
      </c>
      <c r="D58" s="61"/>
      <c r="E58" s="61"/>
      <c r="F58" s="61"/>
      <c r="G58" s="71">
        <f>G56+G57</f>
        <v>116.452051</v>
      </c>
      <c r="H58" s="112" t="s">
        <v>1355</v>
      </c>
      <c r="I58" s="1"/>
      <c r="J58" s="1"/>
      <c r="K58" s="1"/>
      <c r="L58" s="1"/>
      <c r="M58" s="59"/>
      <c r="N58" s="59"/>
    </row>
    <row r="59" spans="1:14" ht="30" customHeight="1">
      <c r="A59" s="59"/>
      <c r="B59" s="59"/>
      <c r="C59" s="68" t="s">
        <v>1356</v>
      </c>
      <c r="D59" s="61"/>
      <c r="E59" s="61"/>
      <c r="F59" s="61"/>
      <c r="G59" s="68">
        <f>G52*G56</f>
        <v>17693.567905</v>
      </c>
      <c r="H59" s="112" t="s">
        <v>1357</v>
      </c>
      <c r="I59" s="1"/>
      <c r="J59" s="1"/>
      <c r="K59" s="1"/>
      <c r="L59" s="1"/>
      <c r="M59" s="59"/>
      <c r="N59" s="59"/>
    </row>
    <row r="60" spans="1:14" ht="30" customHeight="1">
      <c r="A60" s="59"/>
      <c r="B60" s="59"/>
      <c r="C60" s="68" t="s">
        <v>1358</v>
      </c>
      <c r="D60" s="61"/>
      <c r="E60" s="61"/>
      <c r="F60" s="61"/>
      <c r="G60" s="108">
        <f>EXP(G351)-1</f>
        <v>5.3138306133022839E-2</v>
      </c>
      <c r="H60" s="112" t="s">
        <v>1359</v>
      </c>
      <c r="I60" s="1"/>
      <c r="J60" s="1"/>
      <c r="K60" s="1"/>
      <c r="L60" s="1"/>
      <c r="M60" s="59"/>
      <c r="N60" s="59"/>
    </row>
    <row r="61" spans="1:14" ht="30" customHeight="1">
      <c r="A61" s="59"/>
      <c r="B61" s="59"/>
      <c r="C61" s="68" t="s">
        <v>1360</v>
      </c>
      <c r="D61" s="61"/>
      <c r="E61" s="61"/>
      <c r="F61" s="61"/>
      <c r="G61" s="88">
        <v>4.1399999999999999E-2</v>
      </c>
      <c r="H61" s="112" t="s">
        <v>1361</v>
      </c>
      <c r="I61" s="1"/>
      <c r="J61" s="1"/>
      <c r="K61" s="1"/>
      <c r="L61" s="1"/>
      <c r="M61" s="59"/>
      <c r="N61" s="59"/>
    </row>
    <row r="62" spans="1:14" ht="30" customHeight="1">
      <c r="A62" s="59"/>
      <c r="B62" s="59"/>
      <c r="C62" s="68" t="s">
        <v>1362</v>
      </c>
      <c r="D62" s="61"/>
      <c r="E62" s="61"/>
      <c r="F62" s="61"/>
      <c r="G62" s="88">
        <v>2.2000000000000001E-3</v>
      </c>
      <c r="H62" s="112" t="s">
        <v>1363</v>
      </c>
      <c r="I62" s="1"/>
      <c r="J62" s="1"/>
      <c r="K62" s="1"/>
      <c r="L62" s="1"/>
      <c r="M62" s="59"/>
      <c r="N62" s="59"/>
    </row>
    <row r="63" spans="1:14" ht="30" customHeight="1">
      <c r="A63" s="59"/>
      <c r="B63" s="59"/>
      <c r="C63" s="68" t="s">
        <v>1364</v>
      </c>
      <c r="D63" s="61"/>
      <c r="E63" s="61"/>
      <c r="F63" s="61"/>
      <c r="G63" s="109">
        <f>G61+G62</f>
        <v>4.36E-2</v>
      </c>
      <c r="H63" s="112" t="s">
        <v>1365</v>
      </c>
      <c r="I63" s="1"/>
      <c r="J63" s="1"/>
      <c r="K63" s="1"/>
      <c r="L63" s="1"/>
      <c r="M63" s="59"/>
      <c r="N63" s="59"/>
    </row>
    <row r="64" spans="1:14" ht="30" customHeight="1">
      <c r="A64" s="59"/>
      <c r="B64" s="59"/>
      <c r="C64" s="68" t="s">
        <v>1366</v>
      </c>
      <c r="D64" s="61"/>
      <c r="E64" s="61"/>
      <c r="F64" s="61"/>
      <c r="G64" s="89">
        <v>1.1000000000000001</v>
      </c>
      <c r="H64" s="112" t="s">
        <v>1367</v>
      </c>
      <c r="I64" s="1"/>
      <c r="J64" s="1"/>
      <c r="K64" s="1"/>
      <c r="L64" s="1"/>
      <c r="M64" s="59"/>
      <c r="N64" s="59"/>
    </row>
    <row r="65" spans="1:14" ht="30" customHeight="1">
      <c r="A65" s="59"/>
      <c r="B65" s="59"/>
      <c r="C65" s="68" t="s">
        <v>1368</v>
      </c>
      <c r="D65" s="61"/>
      <c r="E65" s="61"/>
      <c r="F65" s="61"/>
      <c r="G65" s="109">
        <f>G60+G64*G63</f>
        <v>0.10109830613302284</v>
      </c>
      <c r="H65" s="112" t="s">
        <v>1369</v>
      </c>
      <c r="I65" s="1"/>
      <c r="J65" s="1"/>
      <c r="K65" s="1"/>
      <c r="L65" s="1"/>
      <c r="M65" s="59"/>
      <c r="N65" s="59"/>
    </row>
    <row r="66" spans="1:14" ht="30" customHeight="1">
      <c r="A66" s="59"/>
      <c r="B66" s="59"/>
      <c r="C66" s="68" t="s">
        <v>1370</v>
      </c>
      <c r="D66" s="61"/>
      <c r="E66" s="61"/>
      <c r="F66" s="61"/>
      <c r="G66" s="108">
        <v>1.11E-2</v>
      </c>
      <c r="H66" s="112" t="s">
        <v>1371</v>
      </c>
      <c r="I66" s="1"/>
      <c r="J66" s="1"/>
      <c r="K66" s="1"/>
      <c r="L66" s="1"/>
      <c r="M66" s="59"/>
      <c r="N66" s="59"/>
    </row>
    <row r="67" spans="1:14" ht="30" customHeight="1">
      <c r="A67" s="59"/>
      <c r="B67" s="59"/>
      <c r="C67" s="68" t="s">
        <v>1372</v>
      </c>
      <c r="D67" s="61"/>
      <c r="E67" s="61"/>
      <c r="F67" s="61"/>
      <c r="G67" s="109">
        <f>G60+G66</f>
        <v>6.4238306133022838E-2</v>
      </c>
      <c r="H67" s="112" t="s">
        <v>1373</v>
      </c>
      <c r="I67" s="1"/>
      <c r="J67" s="1"/>
      <c r="K67" s="1"/>
      <c r="L67" s="1"/>
      <c r="M67" s="59"/>
      <c r="N67" s="59"/>
    </row>
    <row r="68" spans="1:14" ht="30" customHeight="1">
      <c r="A68" s="59"/>
      <c r="B68" s="59"/>
      <c r="C68" s="68" t="s">
        <v>1374</v>
      </c>
      <c r="D68" s="61"/>
      <c r="E68" s="61"/>
      <c r="F68" s="61"/>
      <c r="G68" s="90">
        <f>'01 Assumptions'!H42</f>
        <v>0.25</v>
      </c>
      <c r="H68" s="112" t="s">
        <v>1375</v>
      </c>
      <c r="I68" s="1"/>
      <c r="J68" s="1"/>
      <c r="K68" s="1"/>
      <c r="L68" s="1"/>
      <c r="M68" s="59"/>
      <c r="N68" s="59"/>
    </row>
    <row r="69" spans="1:14" ht="30" customHeight="1">
      <c r="A69" s="59"/>
      <c r="B69" s="59"/>
      <c r="C69" s="68" t="s">
        <v>1376</v>
      </c>
      <c r="D69" s="61"/>
      <c r="E69" s="61"/>
      <c r="F69" s="61"/>
      <c r="G69" s="109">
        <f>G67*(1-G68)</f>
        <v>4.8178729599767128E-2</v>
      </c>
      <c r="H69" s="112" t="s">
        <v>1377</v>
      </c>
      <c r="I69" s="1"/>
      <c r="J69" s="1"/>
      <c r="K69" s="1"/>
      <c r="L69" s="1"/>
      <c r="M69" s="59"/>
      <c r="N69" s="59"/>
    </row>
    <row r="70" spans="1:14" ht="30" customHeight="1">
      <c r="A70" s="59"/>
      <c r="B70" s="59"/>
      <c r="C70" s="68" t="s">
        <v>1378</v>
      </c>
      <c r="D70" s="61"/>
      <c r="E70" s="61"/>
      <c r="F70" s="61"/>
      <c r="G70" s="111">
        <f>G354+G356+G357+SUM(L361:L367)</f>
        <v>795.49020757882863</v>
      </c>
      <c r="H70" s="112" t="s">
        <v>1379</v>
      </c>
      <c r="I70" s="1"/>
      <c r="J70" s="1"/>
      <c r="K70" s="1"/>
      <c r="L70" s="1"/>
      <c r="M70" s="59"/>
      <c r="N70" s="59"/>
    </row>
    <row r="71" spans="1:14" ht="30" customHeight="1">
      <c r="A71" s="59"/>
      <c r="B71" s="59"/>
      <c r="C71" s="68" t="s">
        <v>1380</v>
      </c>
      <c r="D71" s="61"/>
      <c r="E71" s="61"/>
      <c r="F71" s="61"/>
      <c r="G71" s="109">
        <f>G59/SUM(G59,G70)</f>
        <v>0.95697508208719262</v>
      </c>
      <c r="H71" s="112" t="s">
        <v>1381</v>
      </c>
      <c r="I71" s="1"/>
      <c r="J71" s="1"/>
      <c r="K71" s="1"/>
      <c r="L71" s="1"/>
      <c r="M71" s="59"/>
      <c r="N71" s="59"/>
    </row>
    <row r="72" spans="1:14" ht="30" customHeight="1">
      <c r="A72" s="59"/>
      <c r="B72" s="59"/>
      <c r="C72" s="68" t="s">
        <v>1382</v>
      </c>
      <c r="D72" s="61"/>
      <c r="E72" s="61"/>
      <c r="F72" s="61"/>
      <c r="G72" s="109">
        <f>G70/SUM(G59,G70)</f>
        <v>4.3024917912807333E-2</v>
      </c>
      <c r="H72" s="112" t="s">
        <v>1383</v>
      </c>
      <c r="I72" s="1"/>
      <c r="J72" s="1"/>
      <c r="K72" s="1"/>
      <c r="L72" s="1"/>
      <c r="M72" s="59"/>
      <c r="N72" s="59"/>
    </row>
    <row r="73" spans="1:14" ht="30" customHeight="1">
      <c r="A73" s="59"/>
      <c r="B73" s="59"/>
      <c r="C73" s="68" t="s">
        <v>1317</v>
      </c>
      <c r="D73" s="61"/>
      <c r="E73" s="61"/>
      <c r="F73" s="61"/>
      <c r="G73" s="109">
        <f>G65*G71+G69*G72</f>
        <v>9.8821445696698984E-2</v>
      </c>
      <c r="H73" s="112" t="s">
        <v>1384</v>
      </c>
      <c r="I73" s="1"/>
      <c r="J73" s="1"/>
      <c r="K73" s="1"/>
      <c r="L73" s="1"/>
      <c r="M73" s="59"/>
      <c r="N73" s="59"/>
    </row>
    <row r="74" spans="1:14" ht="30" customHeight="1">
      <c r="A74" s="59"/>
      <c r="B74" s="59"/>
      <c r="C74" s="68" t="s">
        <v>1385</v>
      </c>
      <c r="D74" s="61"/>
      <c r="E74" s="61"/>
      <c r="F74" s="61"/>
      <c r="G74" s="109">
        <f>G73</f>
        <v>9.8821445696698984E-2</v>
      </c>
      <c r="H74" s="112" t="s">
        <v>1386</v>
      </c>
      <c r="I74" s="1"/>
      <c r="J74" s="1"/>
      <c r="K74" s="1"/>
      <c r="L74" s="1"/>
      <c r="M74" s="59"/>
      <c r="N74" s="59"/>
    </row>
    <row r="75" spans="1:14" ht="30" customHeight="1">
      <c r="A75" s="59"/>
      <c r="B75" s="59"/>
      <c r="C75" s="68" t="s">
        <v>1387</v>
      </c>
      <c r="D75" s="61"/>
      <c r="E75" s="61"/>
      <c r="F75" s="61"/>
      <c r="G75" s="88">
        <v>5.0000000000000001E-3</v>
      </c>
      <c r="H75" s="112" t="s">
        <v>1388</v>
      </c>
      <c r="I75" s="1"/>
      <c r="J75" s="1"/>
      <c r="K75" s="1"/>
      <c r="L75" s="1"/>
      <c r="M75" s="59"/>
      <c r="N75" s="59"/>
    </row>
    <row r="76" spans="1:14" ht="30" customHeight="1">
      <c r="A76" s="59"/>
      <c r="B76" s="59"/>
      <c r="C76" s="68" t="s">
        <v>1389</v>
      </c>
      <c r="D76" s="61"/>
      <c r="E76" s="61"/>
      <c r="F76" s="61"/>
      <c r="G76" s="88">
        <v>5.0000000000000001E-3</v>
      </c>
      <c r="H76" s="112" t="s">
        <v>1390</v>
      </c>
      <c r="I76" s="1"/>
      <c r="J76" s="1"/>
      <c r="K76" s="1"/>
      <c r="L76" s="1"/>
      <c r="M76" s="59"/>
      <c r="N76" s="59"/>
    </row>
    <row r="77" spans="1:14" ht="30" customHeight="1">
      <c r="A77" s="59"/>
      <c r="B77" s="59"/>
      <c r="C77" s="68" t="s">
        <v>1391</v>
      </c>
      <c r="D77" s="61"/>
      <c r="E77" s="61"/>
      <c r="F77" s="61"/>
      <c r="G77" s="92">
        <v>365</v>
      </c>
      <c r="H77" s="112" t="s">
        <v>1392</v>
      </c>
      <c r="I77" s="1"/>
      <c r="J77" s="1"/>
      <c r="K77" s="1"/>
      <c r="L77" s="1"/>
      <c r="M77" s="59"/>
      <c r="N77" s="59"/>
    </row>
    <row r="78" spans="1:14" ht="30" customHeight="1">
      <c r="A78" s="59"/>
      <c r="B78" s="59"/>
      <c r="C78" s="68" t="s">
        <v>1393</v>
      </c>
      <c r="D78" s="61"/>
      <c r="E78" s="61"/>
      <c r="F78" s="61"/>
      <c r="G78" s="92">
        <v>100</v>
      </c>
      <c r="H78" s="112" t="s">
        <v>1394</v>
      </c>
      <c r="I78" s="1"/>
      <c r="J78" s="1"/>
      <c r="K78" s="1"/>
      <c r="L78" s="1"/>
      <c r="M78" s="59"/>
      <c r="N78" s="59"/>
    </row>
    <row r="79" spans="1:14" ht="30" customHeight="1">
      <c r="A79" s="59"/>
      <c r="B79" s="59"/>
      <c r="C79" s="68" t="s">
        <v>1395</v>
      </c>
      <c r="D79" s="61"/>
      <c r="E79" s="61"/>
      <c r="F79" s="61"/>
      <c r="G79" s="63">
        <v>0</v>
      </c>
      <c r="H79" s="112" t="s">
        <v>1396</v>
      </c>
      <c r="I79" s="1"/>
      <c r="J79" s="1"/>
      <c r="K79" s="1"/>
      <c r="L79" s="1"/>
      <c r="M79" s="59"/>
      <c r="N79" s="59"/>
    </row>
    <row r="80" spans="1:14" ht="22" customHeight="1">
      <c r="A80" s="59"/>
      <c r="B80" s="59"/>
      <c r="C80" s="61"/>
      <c r="D80" s="61"/>
      <c r="E80" s="61"/>
      <c r="F80" s="61"/>
      <c r="G80" s="61"/>
      <c r="H80" s="61"/>
      <c r="I80" s="61"/>
      <c r="J80" s="61"/>
      <c r="K80" s="61"/>
      <c r="L80" s="61"/>
      <c r="M80" s="59"/>
      <c r="N80" s="59"/>
    </row>
    <row r="81" spans="1:14" ht="22" customHeight="1">
      <c r="A81" s="59"/>
      <c r="B81" s="59"/>
      <c r="C81" s="61"/>
      <c r="D81" s="61"/>
      <c r="E81" s="61"/>
      <c r="F81" s="61"/>
      <c r="G81" s="61"/>
      <c r="H81" s="61"/>
      <c r="I81" s="61"/>
      <c r="J81" s="61"/>
      <c r="K81" s="61"/>
      <c r="L81" s="61"/>
      <c r="M81" s="59"/>
      <c r="N81" s="59"/>
    </row>
    <row r="82" spans="1:14" ht="25" customHeight="1">
      <c r="A82" s="59"/>
      <c r="B82" s="59"/>
      <c r="C82" s="75" t="s">
        <v>1397</v>
      </c>
      <c r="D82" s="60"/>
      <c r="E82" s="60"/>
      <c r="F82" s="60"/>
      <c r="G82" s="60"/>
      <c r="H82" s="60"/>
      <c r="I82" s="60"/>
      <c r="J82" s="60"/>
      <c r="K82" s="60"/>
      <c r="L82" s="60"/>
      <c r="M82" s="59"/>
      <c r="N82" s="59"/>
    </row>
    <row r="83" spans="1:14" ht="22" customHeight="1">
      <c r="A83" s="59"/>
      <c r="B83" s="59"/>
      <c r="C83" s="61"/>
      <c r="D83" s="61"/>
      <c r="E83" s="61"/>
      <c r="F83" s="61"/>
      <c r="G83" s="61"/>
      <c r="H83" s="61"/>
      <c r="I83" s="61"/>
      <c r="J83" s="61"/>
      <c r="K83" s="61"/>
      <c r="L83" s="61"/>
      <c r="M83" s="59"/>
      <c r="N83" s="59"/>
    </row>
    <row r="84" spans="1:14" ht="22" customHeight="1">
      <c r="A84" s="59"/>
      <c r="B84" s="59"/>
      <c r="C84" s="61"/>
      <c r="D84" s="61"/>
      <c r="E84" s="61"/>
      <c r="F84" s="61"/>
      <c r="G84" s="61"/>
      <c r="H84" s="105" t="str">
        <f>'02 Model'!H6</f>
        <v>FY2027E</v>
      </c>
      <c r="I84" s="105" t="str">
        <f>'02 Model'!I6</f>
        <v>FY2028E</v>
      </c>
      <c r="J84" s="105" t="str">
        <f>'02 Model'!J6</f>
        <v>FY2029E</v>
      </c>
      <c r="K84" s="105" t="str">
        <f>'02 Model'!K6</f>
        <v>FY2030E</v>
      </c>
      <c r="L84" s="105" t="str">
        <f>'02 Model'!L6</f>
        <v>FY2031E</v>
      </c>
      <c r="M84" s="59"/>
      <c r="N84" s="59"/>
    </row>
    <row r="85" spans="1:14" ht="22" customHeight="1">
      <c r="A85" s="59"/>
      <c r="B85" s="59"/>
      <c r="C85" s="68" t="s">
        <v>1398</v>
      </c>
      <c r="D85" s="61"/>
      <c r="E85" s="61"/>
      <c r="F85" s="61"/>
      <c r="G85" s="61"/>
      <c r="H85" s="76">
        <v>46417</v>
      </c>
      <c r="I85" s="76">
        <v>46781</v>
      </c>
      <c r="J85" s="76">
        <v>47145</v>
      </c>
      <c r="K85" s="76">
        <v>47509</v>
      </c>
      <c r="L85" s="76">
        <v>47873</v>
      </c>
      <c r="M85" s="59"/>
      <c r="N85" s="59"/>
    </row>
    <row r="86" spans="1:14" ht="22" customHeight="1">
      <c r="A86" s="59"/>
      <c r="B86" s="59"/>
      <c r="C86" s="68" t="s">
        <v>1399</v>
      </c>
      <c r="D86" s="61"/>
      <c r="E86" s="61"/>
      <c r="F86" s="61"/>
      <c r="G86" s="61"/>
      <c r="H86" s="64">
        <f>MAX(0,MIN(1,(H85-$G$49)/(H85-$G$50)+$G$79))</f>
        <v>0.39835164835164832</v>
      </c>
      <c r="I86" s="64">
        <f>MAX(0,MIN(1,(I85-$G$49)/(I85-H85)))</f>
        <v>1</v>
      </c>
      <c r="J86" s="64">
        <f>MAX(0,MIN(1,(J85-$G$49)/(J85-I85)))</f>
        <v>1</v>
      </c>
      <c r="K86" s="64">
        <f>MAX(0,MIN(1,(K85-$G$49)/(K85-J85)))</f>
        <v>1</v>
      </c>
      <c r="L86" s="64">
        <f>MAX(0,MIN(1,(L85-$G$49)/(L85-K85)))</f>
        <v>1</v>
      </c>
      <c r="M86" s="59"/>
      <c r="N86" s="59"/>
    </row>
    <row r="87" spans="1:14" ht="22" customHeight="1">
      <c r="A87" s="59"/>
      <c r="B87" s="59"/>
      <c r="C87" s="68" t="s">
        <v>1400</v>
      </c>
      <c r="D87" s="61"/>
      <c r="E87" s="61"/>
      <c r="F87" s="61"/>
      <c r="G87" s="61"/>
      <c r="H87" s="71">
        <f>MAX(0,(H85-$G$49)/$G$77)</f>
        <v>0.39726027397260272</v>
      </c>
      <c r="I87" s="71">
        <f>MAX(0,(I85-$G$49)/$G$77)</f>
        <v>1.3945205479452054</v>
      </c>
      <c r="J87" s="71">
        <f>MAX(0,(J85-$G$49)/$G$77)</f>
        <v>2.3917808219178083</v>
      </c>
      <c r="K87" s="71">
        <f>MAX(0,(K85-$G$49)/$G$77)</f>
        <v>3.3890410958904109</v>
      </c>
      <c r="L87" s="71">
        <f>MAX(0,(L85-$G$49)/$G$77)</f>
        <v>4.3863013698630136</v>
      </c>
      <c r="M87" s="59"/>
      <c r="N87" s="59"/>
    </row>
    <row r="88" spans="1:14" ht="22" customHeight="1">
      <c r="A88" s="59"/>
      <c r="B88" s="59"/>
      <c r="C88" s="68" t="s">
        <v>33</v>
      </c>
      <c r="D88" s="61"/>
      <c r="E88" s="61"/>
      <c r="F88" s="61"/>
      <c r="G88" s="61"/>
      <c r="H88" s="91">
        <f>'02 Model'!H8</f>
        <v>7265.621000000001</v>
      </c>
      <c r="I88" s="91">
        <f>'02 Model'!I8</f>
        <v>7701.5582600000016</v>
      </c>
      <c r="J88" s="91">
        <f>'02 Model'!J8</f>
        <v>8125.1439643000012</v>
      </c>
      <c r="K88" s="91">
        <f>'02 Model'!K8</f>
        <v>8531.4011625150015</v>
      </c>
      <c r="L88" s="91">
        <f>'02 Model'!L8</f>
        <v>8915.3142148281768</v>
      </c>
      <c r="M88" s="59"/>
      <c r="N88" s="59"/>
    </row>
    <row r="89" spans="1:14" ht="22" customHeight="1">
      <c r="A89" s="59"/>
      <c r="B89" s="59"/>
      <c r="C89" s="68" t="s">
        <v>1401</v>
      </c>
      <c r="D89" s="61"/>
      <c r="E89" s="61"/>
      <c r="F89" s="61"/>
      <c r="G89" s="61"/>
      <c r="H89" s="91">
        <f>'02 Model'!H24</f>
        <v>1332.1398849999996</v>
      </c>
      <c r="I89" s="91">
        <f>'02 Model'!I24</f>
        <v>1419.9898363599998</v>
      </c>
      <c r="J89" s="91">
        <f>'02 Model'!J24</f>
        <v>1502.3393493419496</v>
      </c>
      <c r="K89" s="91">
        <f>'02 Model'!K24</f>
        <v>1577.6063168090475</v>
      </c>
      <c r="L89" s="91">
        <f>'02 Model'!L24</f>
        <v>1653.1637581728687</v>
      </c>
      <c r="M89" s="59"/>
      <c r="N89" s="59"/>
    </row>
    <row r="90" spans="1:14" ht="22" customHeight="1">
      <c r="A90" s="59"/>
      <c r="B90" s="59"/>
      <c r="C90" s="68" t="s">
        <v>1402</v>
      </c>
      <c r="D90" s="61"/>
      <c r="E90" s="61"/>
      <c r="F90" s="61"/>
      <c r="G90" s="61"/>
      <c r="H90" s="91">
        <f>-SUM('02 Model'!H21:H22)</f>
        <v>-8</v>
      </c>
      <c r="I90" s="91">
        <f>-SUM('02 Model'!I21:I22)</f>
        <v>-8.5</v>
      </c>
      <c r="J90" s="91">
        <f>-SUM('02 Model'!J21:J22)</f>
        <v>-9</v>
      </c>
      <c r="K90" s="91">
        <f>-SUM('02 Model'!K21:K22)</f>
        <v>-9.5</v>
      </c>
      <c r="L90" s="91">
        <f>-SUM('02 Model'!L21:L22)</f>
        <v>-10</v>
      </c>
      <c r="M90" s="59"/>
      <c r="N90" s="59"/>
    </row>
    <row r="91" spans="1:14" ht="22" customHeight="1">
      <c r="A91" s="59"/>
      <c r="B91" s="59"/>
      <c r="C91" s="68" t="s">
        <v>1403</v>
      </c>
      <c r="D91" s="61"/>
      <c r="E91" s="61"/>
      <c r="F91" s="61"/>
      <c r="G91" s="61"/>
      <c r="H91" s="91">
        <f>-'03 Schedules'!H72</f>
        <v>156</v>
      </c>
      <c r="I91" s="91">
        <f>-'03 Schedules'!I72</f>
        <v>158</v>
      </c>
      <c r="J91" s="91">
        <f>-'03 Schedules'!J72</f>
        <v>160</v>
      </c>
      <c r="K91" s="91">
        <f>-'03 Schedules'!K72</f>
        <v>162</v>
      </c>
      <c r="L91" s="91">
        <f>-'03 Schedules'!L72</f>
        <v>164</v>
      </c>
      <c r="M91" s="59"/>
      <c r="N91" s="59"/>
    </row>
    <row r="92" spans="1:14" ht="22" customHeight="1">
      <c r="A92" s="59"/>
      <c r="B92" s="59"/>
      <c r="C92" s="68" t="s">
        <v>1404</v>
      </c>
      <c r="D92" s="61"/>
      <c r="E92" s="61"/>
      <c r="F92" s="61"/>
      <c r="G92" s="61"/>
      <c r="H92" s="91">
        <f>'03 Schedules'!H82+'02 Model'!H121</f>
        <v>-225</v>
      </c>
      <c r="I92" s="91">
        <f>'03 Schedules'!I82+'02 Model'!I121</f>
        <v>-230</v>
      </c>
      <c r="J92" s="91">
        <f>'03 Schedules'!J82+'02 Model'!J121</f>
        <v>-235</v>
      </c>
      <c r="K92" s="91">
        <f>'03 Schedules'!K82+'02 Model'!K121</f>
        <v>-240</v>
      </c>
      <c r="L92" s="91">
        <f>'03 Schedules'!L82+'02 Model'!L121</f>
        <v>-245</v>
      </c>
      <c r="M92" s="59"/>
      <c r="N92" s="59"/>
    </row>
    <row r="93" spans="1:14" ht="22" customHeight="1">
      <c r="A93" s="59"/>
      <c r="B93" s="59"/>
      <c r="C93" s="73" t="s">
        <v>1405</v>
      </c>
      <c r="D93" s="106"/>
      <c r="E93" s="106"/>
      <c r="F93" s="106"/>
      <c r="G93" s="106"/>
      <c r="H93" s="73">
        <f>SUM(H89:H92)</f>
        <v>1255.1398849999996</v>
      </c>
      <c r="I93" s="73">
        <f>SUM(I89:I92)</f>
        <v>1339.4898363599998</v>
      </c>
      <c r="J93" s="73">
        <f>SUM(J89:J92)</f>
        <v>1418.3393493419496</v>
      </c>
      <c r="K93" s="73">
        <f>SUM(K89:K92)</f>
        <v>1490.1063168090475</v>
      </c>
      <c r="L93" s="73">
        <f>SUM(L89:L92)</f>
        <v>1562.1637581728687</v>
      </c>
      <c r="M93" s="59"/>
      <c r="N93" s="59"/>
    </row>
    <row r="94" spans="1:14" ht="22" customHeight="1">
      <c r="A94" s="59"/>
      <c r="B94" s="59"/>
      <c r="C94" s="68" t="s">
        <v>1406</v>
      </c>
      <c r="D94" s="61"/>
      <c r="E94" s="61"/>
      <c r="F94" s="61"/>
      <c r="G94" s="61"/>
      <c r="H94" s="93">
        <f>'01 Assumptions'!H42</f>
        <v>0.25</v>
      </c>
      <c r="I94" s="93">
        <f>'01 Assumptions'!I42</f>
        <v>0.25</v>
      </c>
      <c r="J94" s="93">
        <f>'01 Assumptions'!J42</f>
        <v>0.25</v>
      </c>
      <c r="K94" s="93">
        <f>'01 Assumptions'!K42</f>
        <v>0.25</v>
      </c>
      <c r="L94" s="93">
        <f>'01 Assumptions'!L42</f>
        <v>0.25</v>
      </c>
      <c r="M94" s="59"/>
      <c r="N94" s="59"/>
    </row>
    <row r="95" spans="1:14" ht="22" customHeight="1">
      <c r="A95" s="59"/>
      <c r="B95" s="59"/>
      <c r="C95" s="68" t="s">
        <v>1407</v>
      </c>
      <c r="D95" s="61"/>
      <c r="E95" s="61"/>
      <c r="F95" s="61"/>
      <c r="G95" s="61"/>
      <c r="H95" s="68">
        <f>-H93*H94</f>
        <v>-313.7849712499999</v>
      </c>
      <c r="I95" s="68">
        <f>-I93*I94</f>
        <v>-334.87245908999995</v>
      </c>
      <c r="J95" s="68">
        <f>-J93*J94</f>
        <v>-354.58483733548741</v>
      </c>
      <c r="K95" s="68">
        <f>-K93*K94</f>
        <v>-372.52657920226187</v>
      </c>
      <c r="L95" s="68">
        <f>-L93*L94</f>
        <v>-390.54093954321718</v>
      </c>
      <c r="M95" s="59"/>
      <c r="N95" s="59"/>
    </row>
    <row r="96" spans="1:14" ht="22" customHeight="1">
      <c r="A96" s="59"/>
      <c r="B96" s="59"/>
      <c r="C96" s="73" t="s">
        <v>1408</v>
      </c>
      <c r="D96" s="106"/>
      <c r="E96" s="106"/>
      <c r="F96" s="106"/>
      <c r="G96" s="106"/>
      <c r="H96" s="73">
        <f>SUM(H93,H95)</f>
        <v>941.3549137499997</v>
      </c>
      <c r="I96" s="73">
        <f>SUM(I93,I95)</f>
        <v>1004.6173772699999</v>
      </c>
      <c r="J96" s="73">
        <f>SUM(J93,J95)</f>
        <v>1063.7545120064622</v>
      </c>
      <c r="K96" s="73">
        <f>SUM(K93,K95)</f>
        <v>1117.5797376067856</v>
      </c>
      <c r="L96" s="73">
        <f>SUM(L93,L95)</f>
        <v>1171.6228186296516</v>
      </c>
      <c r="M96" s="59"/>
      <c r="N96" s="59"/>
    </row>
    <row r="97" spans="1:14" ht="22" customHeight="1">
      <c r="A97" s="59"/>
      <c r="B97" s="59"/>
      <c r="C97" s="68" t="s">
        <v>1409</v>
      </c>
      <c r="D97" s="61"/>
      <c r="E97" s="61"/>
      <c r="F97" s="61"/>
      <c r="G97" s="61"/>
      <c r="H97" s="91">
        <f>'03 Schedules'!H348</f>
        <v>120</v>
      </c>
      <c r="I97" s="91">
        <f>'03 Schedules'!I348</f>
        <v>128</v>
      </c>
      <c r="J97" s="91">
        <f>'03 Schedules'!J348</f>
        <v>140</v>
      </c>
      <c r="K97" s="91">
        <f>'03 Schedules'!K348</f>
        <v>155</v>
      </c>
      <c r="L97" s="91">
        <f>'03 Schedules'!L348</f>
        <v>170</v>
      </c>
      <c r="M97" s="59"/>
      <c r="N97" s="59"/>
    </row>
    <row r="98" spans="1:14" ht="22" customHeight="1">
      <c r="A98" s="59"/>
      <c r="B98" s="59"/>
      <c r="C98" s="68" t="s">
        <v>1410</v>
      </c>
      <c r="D98" s="61"/>
      <c r="E98" s="61"/>
      <c r="F98" s="61"/>
      <c r="G98" s="61"/>
      <c r="H98" s="91">
        <f>'03 Schedules'!H351</f>
        <v>58</v>
      </c>
      <c r="I98" s="91">
        <f>'03 Schedules'!I351</f>
        <v>60</v>
      </c>
      <c r="J98" s="91">
        <f>'03 Schedules'!J351</f>
        <v>62</v>
      </c>
      <c r="K98" s="91">
        <f>'03 Schedules'!K351</f>
        <v>64</v>
      </c>
      <c r="L98" s="91">
        <f>'03 Schedules'!L351</f>
        <v>66</v>
      </c>
      <c r="M98" s="59"/>
      <c r="N98" s="59"/>
    </row>
    <row r="99" spans="1:14" ht="22" customHeight="1">
      <c r="A99" s="59"/>
      <c r="B99" s="59"/>
      <c r="C99" s="68" t="s">
        <v>1411</v>
      </c>
      <c r="D99" s="61"/>
      <c r="E99" s="61"/>
      <c r="F99" s="61"/>
      <c r="G99" s="61"/>
      <c r="H99" s="91">
        <f>'03 Schedules'!H349</f>
        <v>0</v>
      </c>
      <c r="I99" s="91">
        <f>'03 Schedules'!I349</f>
        <v>0</v>
      </c>
      <c r="J99" s="91">
        <f>'03 Schedules'!J349</f>
        <v>0</v>
      </c>
      <c r="K99" s="91">
        <f>'03 Schedules'!K349</f>
        <v>0</v>
      </c>
      <c r="L99" s="91">
        <f>'03 Schedules'!L349</f>
        <v>0</v>
      </c>
      <c r="M99" s="59"/>
      <c r="N99" s="59"/>
    </row>
    <row r="100" spans="1:14" ht="22" customHeight="1">
      <c r="A100" s="59"/>
      <c r="B100" s="59"/>
      <c r="C100" s="68" t="s">
        <v>1412</v>
      </c>
      <c r="D100" s="61"/>
      <c r="E100" s="61"/>
      <c r="F100" s="61"/>
      <c r="G100" s="61"/>
      <c r="H100" s="91">
        <f>SUM('02 Model'!H102:H106)</f>
        <v>-237</v>
      </c>
      <c r="I100" s="91">
        <f>SUM('02 Model'!I102:I106)</f>
        <v>-252</v>
      </c>
      <c r="J100" s="91">
        <f>SUM('02 Model'!J102:J106)</f>
        <v>-227</v>
      </c>
      <c r="K100" s="91">
        <f>SUM('02 Model'!K102:K106)</f>
        <v>-289</v>
      </c>
      <c r="L100" s="91">
        <f>SUM('02 Model'!L102:L106)</f>
        <v>-300</v>
      </c>
      <c r="M100" s="59"/>
      <c r="N100" s="59"/>
    </row>
    <row r="101" spans="1:14" ht="22" customHeight="1">
      <c r="A101" s="59"/>
      <c r="B101" s="59"/>
      <c r="C101" s="68" t="s">
        <v>1413</v>
      </c>
      <c r="D101" s="61"/>
      <c r="E101" s="61"/>
      <c r="F101" s="61"/>
      <c r="G101" s="61"/>
      <c r="H101" s="91">
        <f>SUM('02 Model'!H46,'02 Model'!H48)</f>
        <v>989.55631310684976</v>
      </c>
      <c r="I101" s="91">
        <f>SUM('02 Model'!I46,'02 Model'!I48)</f>
        <v>1101.5526062404388</v>
      </c>
      <c r="J101" s="91">
        <f>SUM('02 Model'!J46,'02 Model'!J48)</f>
        <v>1108.7661386349491</v>
      </c>
      <c r="K101" s="91">
        <f>SUM('02 Model'!K46,'02 Model'!K48)</f>
        <v>1216.5888201964071</v>
      </c>
      <c r="L101" s="91">
        <f>SUM('02 Model'!L46,'02 Model'!L48)</f>
        <v>1214.0771117823601</v>
      </c>
      <c r="M101" s="59"/>
      <c r="N101" s="59"/>
    </row>
    <row r="102" spans="1:14" ht="22" customHeight="1">
      <c r="A102" s="59"/>
      <c r="B102" s="59"/>
      <c r="C102" s="68" t="s">
        <v>1414</v>
      </c>
      <c r="D102" s="61"/>
      <c r="E102" s="61"/>
      <c r="F102" s="61"/>
      <c r="G102" s="61"/>
      <c r="H102" s="91">
        <f>'02 Model'!H47-'03 Schedules'!H117</f>
        <v>1627.9218310000001</v>
      </c>
      <c r="I102" s="91">
        <f>'02 Model'!I47-'03 Schedules'!I117</f>
        <v>1671.73714086</v>
      </c>
      <c r="J102" s="91">
        <f>'02 Model'!J47-'03 Schedules'!J117</f>
        <v>1716.9569836073001</v>
      </c>
      <c r="K102" s="91">
        <f>'02 Model'!K47-'03 Schedules'!K117</f>
        <v>1761.537420787665</v>
      </c>
      <c r="L102" s="91">
        <f>'02 Model'!L47-'03 Schedules'!L117</f>
        <v>1805.4343045231101</v>
      </c>
      <c r="M102" s="59"/>
      <c r="N102" s="59"/>
    </row>
    <row r="103" spans="1:14" ht="22" customHeight="1">
      <c r="A103" s="59"/>
      <c r="B103" s="59"/>
      <c r="C103" s="68" t="s">
        <v>1415</v>
      </c>
      <c r="D103" s="61"/>
      <c r="E103" s="61"/>
      <c r="F103" s="61"/>
      <c r="G103" s="61"/>
      <c r="H103" s="91">
        <f>SUM('02 Model'!H59,'02 Model'!H70)</f>
        <v>-1243.7082804712331</v>
      </c>
      <c r="I103" s="91">
        <f>SUM('02 Model'!I59,'02 Model'!I70)</f>
        <v>-1286.7519653629593</v>
      </c>
      <c r="J103" s="91">
        <f>SUM('02 Model'!J59,'02 Model'!J70)</f>
        <v>-1382.1499523962061</v>
      </c>
      <c r="K103" s="91">
        <f>SUM('02 Model'!K59,'02 Model'!K70)</f>
        <v>-1420.6834891181145</v>
      </c>
      <c r="L103" s="91">
        <f>SUM('02 Model'!L59,'02 Model'!L70)</f>
        <v>-1508.4617778068578</v>
      </c>
      <c r="M103" s="59"/>
      <c r="N103" s="59"/>
    </row>
    <row r="104" spans="1:14" ht="22" customHeight="1">
      <c r="A104" s="59"/>
      <c r="B104" s="59"/>
      <c r="C104" s="68" t="s">
        <v>1416</v>
      </c>
      <c r="D104" s="61"/>
      <c r="E104" s="61"/>
      <c r="F104" s="61"/>
      <c r="G104" s="61"/>
      <c r="H104" s="68">
        <f>$G$183</f>
        <v>100</v>
      </c>
      <c r="I104" s="68">
        <f>$G$183</f>
        <v>100</v>
      </c>
      <c r="J104" s="68">
        <f>$G$183</f>
        <v>100</v>
      </c>
      <c r="K104" s="68">
        <f>$G$183</f>
        <v>100</v>
      </c>
      <c r="L104" s="68">
        <f>$G$183</f>
        <v>100</v>
      </c>
      <c r="M104" s="59"/>
      <c r="N104" s="59"/>
    </row>
    <row r="105" spans="1:14" ht="22" customHeight="1">
      <c r="A105" s="59"/>
      <c r="B105" s="59"/>
      <c r="C105" s="73" t="s">
        <v>1417</v>
      </c>
      <c r="D105" s="106"/>
      <c r="E105" s="106"/>
      <c r="F105" s="106"/>
      <c r="G105" s="106"/>
      <c r="H105" s="73">
        <f>SUM(H101:H104)</f>
        <v>1473.7698636356167</v>
      </c>
      <c r="I105" s="73">
        <f>SUM(I101:I104)</f>
        <v>1586.5377817374797</v>
      </c>
      <c r="J105" s="73">
        <f>SUM(J101:J104)</f>
        <v>1543.5731698460431</v>
      </c>
      <c r="K105" s="73">
        <f>SUM(K101:K104)</f>
        <v>1657.4427518659575</v>
      </c>
      <c r="L105" s="73">
        <f>SUM(L101:L104)</f>
        <v>1611.0496384986127</v>
      </c>
      <c r="M105" s="59"/>
      <c r="N105" s="59"/>
    </row>
    <row r="106" spans="1:14" ht="22" customHeight="1">
      <c r="A106" s="59"/>
      <c r="B106" s="59"/>
      <c r="C106" s="68" t="s">
        <v>1418</v>
      </c>
      <c r="D106" s="61"/>
      <c r="E106" s="61"/>
      <c r="F106" s="61"/>
      <c r="G106" s="61"/>
      <c r="H106" s="91">
        <f>SUM('02 Model'!G46:G48,'02 Model'!G59,'02 Model'!G70)-'03 Schedules'!G117+H104</f>
        <v>1569.8999999999996</v>
      </c>
      <c r="I106" s="68">
        <f>H105</f>
        <v>1473.7698636356167</v>
      </c>
      <c r="J106" s="68">
        <f>I105</f>
        <v>1586.5377817374797</v>
      </c>
      <c r="K106" s="68">
        <f>J105</f>
        <v>1543.5731698460431</v>
      </c>
      <c r="L106" s="68">
        <f>K105</f>
        <v>1657.4427518659575</v>
      </c>
      <c r="M106" s="59"/>
      <c r="N106" s="59"/>
    </row>
    <row r="107" spans="1:14" ht="22" customHeight="1">
      <c r="A107" s="59"/>
      <c r="B107" s="59"/>
      <c r="C107" s="68" t="s">
        <v>1419</v>
      </c>
      <c r="D107" s="61"/>
      <c r="E107" s="61"/>
      <c r="F107" s="61"/>
      <c r="G107" s="61"/>
      <c r="H107" s="68">
        <f>H105-H106</f>
        <v>-96.130136364382906</v>
      </c>
      <c r="I107" s="68">
        <f>I105-I106</f>
        <v>112.76791810186296</v>
      </c>
      <c r="J107" s="68">
        <f>J105-J106</f>
        <v>-42.964611891436562</v>
      </c>
      <c r="K107" s="68">
        <f>K105-K106</f>
        <v>113.86958201991433</v>
      </c>
      <c r="L107" s="68">
        <f>L105-L106</f>
        <v>-46.393113367344768</v>
      </c>
      <c r="M107" s="59"/>
      <c r="N107" s="59"/>
    </row>
    <row r="108" spans="1:14" ht="22" customHeight="1">
      <c r="A108" s="59"/>
      <c r="B108" s="59"/>
      <c r="C108" s="73" t="s">
        <v>1420</v>
      </c>
      <c r="D108" s="106"/>
      <c r="E108" s="106"/>
      <c r="F108" s="106"/>
      <c r="G108" s="106"/>
      <c r="H108" s="73">
        <f>SUM(H96:H100)-H107</f>
        <v>978.4850501143826</v>
      </c>
      <c r="I108" s="73">
        <f>SUM(I96:I100)-I107</f>
        <v>827.84945916813695</v>
      </c>
      <c r="J108" s="73">
        <f>SUM(J96:J100)-J107</f>
        <v>1081.7191238978987</v>
      </c>
      <c r="K108" s="73">
        <f>SUM(K96:K100)-K107</f>
        <v>933.71015558687122</v>
      </c>
      <c r="L108" s="73">
        <f>SUM(L96:L100)-L107</f>
        <v>1154.0159319969964</v>
      </c>
      <c r="M108" s="59"/>
      <c r="N108" s="59"/>
    </row>
    <row r="109" spans="1:14" ht="22" customHeight="1">
      <c r="A109" s="59"/>
      <c r="B109" s="59"/>
      <c r="C109" s="68" t="s">
        <v>1421</v>
      </c>
      <c r="D109" s="61"/>
      <c r="E109" s="61"/>
      <c r="F109" s="61"/>
      <c r="G109" s="61"/>
      <c r="H109" s="68">
        <f>H108*H86</f>
        <v>389.78113260050952</v>
      </c>
      <c r="I109" s="68">
        <f>I108*I86</f>
        <v>827.84945916813695</v>
      </c>
      <c r="J109" s="68">
        <f>J108*J86</f>
        <v>1081.7191238978987</v>
      </c>
      <c r="K109" s="68">
        <f>K108*K86</f>
        <v>933.71015558687122</v>
      </c>
      <c r="L109" s="68">
        <f>L108*L86</f>
        <v>1154.0159319969964</v>
      </c>
      <c r="M109" s="59"/>
      <c r="N109" s="59"/>
    </row>
    <row r="110" spans="1:14" ht="22" customHeight="1">
      <c r="A110" s="59"/>
      <c r="B110" s="59"/>
      <c r="C110" s="68" t="s">
        <v>1422</v>
      </c>
      <c r="D110" s="61"/>
      <c r="E110" s="61"/>
      <c r="F110" s="61"/>
      <c r="G110" s="61"/>
      <c r="H110" s="80">
        <f>1/(1+$G$74)^H87</f>
        <v>0.96325501405024916</v>
      </c>
      <c r="I110" s="80">
        <f>1/(1+$G$74)^I87</f>
        <v>0.87685196688602429</v>
      </c>
      <c r="J110" s="80">
        <f>1/(1+$G$74)^J87</f>
        <v>0.79819918984795513</v>
      </c>
      <c r="K110" s="80">
        <f>1/(1+$G$74)^K87</f>
        <v>0.72660149116908646</v>
      </c>
      <c r="L110" s="80">
        <f>1/(1+$G$74)^L87</f>
        <v>0.66142603711450354</v>
      </c>
      <c r="M110" s="59"/>
      <c r="N110" s="59"/>
    </row>
    <row r="111" spans="1:14" ht="22" customHeight="1">
      <c r="A111" s="59"/>
      <c r="B111" s="59"/>
      <c r="C111" s="73" t="s">
        <v>1423</v>
      </c>
      <c r="D111" s="106"/>
      <c r="E111" s="106"/>
      <c r="F111" s="106"/>
      <c r="G111" s="106"/>
      <c r="H111" s="73">
        <f>H109*H110</f>
        <v>375.45863035962583</v>
      </c>
      <c r="I111" s="73">
        <f>I109*I110</f>
        <v>725.90142655711236</v>
      </c>
      <c r="J111" s="73">
        <f>J109*J110</f>
        <v>863.42732833834259</v>
      </c>
      <c r="K111" s="73">
        <f>K109*K110</f>
        <v>678.4351913691404</v>
      </c>
      <c r="L111" s="73">
        <f>L109*L110</f>
        <v>763.29618466777379</v>
      </c>
      <c r="M111" s="59"/>
      <c r="N111" s="59"/>
    </row>
    <row r="112" spans="1:14" ht="22" customHeight="1">
      <c r="A112" s="59"/>
      <c r="B112" s="59"/>
      <c r="C112" s="61"/>
      <c r="D112" s="61"/>
      <c r="E112" s="61"/>
      <c r="F112" s="61"/>
      <c r="G112" s="61"/>
      <c r="H112" s="61"/>
      <c r="I112" s="61"/>
      <c r="J112" s="61"/>
      <c r="K112" s="61"/>
      <c r="L112" s="61"/>
      <c r="M112" s="59"/>
      <c r="N112" s="59"/>
    </row>
    <row r="113" spans="1:14" ht="22" customHeight="1">
      <c r="A113" s="59"/>
      <c r="B113" s="59"/>
      <c r="C113" s="68" t="s">
        <v>1424</v>
      </c>
      <c r="D113" s="61"/>
      <c r="E113" s="61"/>
      <c r="F113" s="61"/>
      <c r="G113" s="61"/>
      <c r="H113" s="91">
        <f>'03 Schedules'!H353</f>
        <v>45</v>
      </c>
      <c r="I113" s="91">
        <f>'03 Schedules'!I353</f>
        <v>47</v>
      </c>
      <c r="J113" s="91">
        <f>'03 Schedules'!J353</f>
        <v>49</v>
      </c>
      <c r="K113" s="91">
        <f>'03 Schedules'!K353</f>
        <v>51</v>
      </c>
      <c r="L113" s="91">
        <f>'03 Schedules'!L353</f>
        <v>53</v>
      </c>
      <c r="M113" s="59"/>
      <c r="N113" s="59"/>
    </row>
    <row r="114" spans="1:14" ht="22" customHeight="1">
      <c r="A114" s="59"/>
      <c r="B114" s="59"/>
      <c r="C114" s="68" t="s">
        <v>1425</v>
      </c>
      <c r="D114" s="61"/>
      <c r="E114" s="61"/>
      <c r="F114" s="61"/>
      <c r="G114" s="61"/>
      <c r="H114" s="91">
        <f>'03 Schedules'!H355</f>
        <v>5.3670000000000009</v>
      </c>
      <c r="I114" s="91">
        <f>'03 Schedules'!I355</f>
        <v>5.7318150276757773</v>
      </c>
      <c r="J114" s="91">
        <f>'03 Schedules'!J355</f>
        <v>5.1999999999999993</v>
      </c>
      <c r="K114" s="91">
        <f>'03 Schedules'!K355</f>
        <v>5.2999999999999989</v>
      </c>
      <c r="L114" s="91">
        <f>'03 Schedules'!L355</f>
        <v>5.3999999999999986</v>
      </c>
      <c r="M114" s="59"/>
      <c r="N114" s="59"/>
    </row>
    <row r="115" spans="1:14" ht="22" customHeight="1">
      <c r="A115" s="59"/>
      <c r="B115" s="59"/>
      <c r="C115" s="68" t="s">
        <v>1426</v>
      </c>
      <c r="D115" s="61"/>
      <c r="E115" s="61"/>
      <c r="F115" s="61"/>
      <c r="G115" s="61"/>
      <c r="H115" s="91">
        <f>'02 Model'!H30-'03 Schedules'!H242</f>
        <v>10.295414401250014</v>
      </c>
      <c r="I115" s="91">
        <f>'02 Model'!I30-'03 Schedules'!I242</f>
        <v>11.084220133698295</v>
      </c>
      <c r="J115" s="91">
        <f>'02 Model'!J30-'03 Schedules'!J242</f>
        <v>11.773191289818442</v>
      </c>
      <c r="K115" s="91">
        <f>'02 Model'!K30-'03 Schedules'!K242</f>
        <v>12.410836982987121</v>
      </c>
      <c r="L115" s="91">
        <f>'02 Model'!L30-'03 Schedules'!L242</f>
        <v>13.050577617704221</v>
      </c>
      <c r="M115" s="59"/>
      <c r="N115" s="59"/>
    </row>
    <row r="116" spans="1:14" ht="22" customHeight="1">
      <c r="A116" s="59"/>
      <c r="B116" s="59"/>
      <c r="C116" s="68" t="s">
        <v>1427</v>
      </c>
      <c r="D116" s="61"/>
      <c r="E116" s="61"/>
      <c r="F116" s="61"/>
      <c r="G116" s="61"/>
      <c r="H116" s="64">
        <f>H108/H88</f>
        <v>0.13467328534125059</v>
      </c>
      <c r="I116" s="64">
        <f>I108/I88</f>
        <v>0.10749116363473914</v>
      </c>
      <c r="J116" s="64">
        <f>J108/J88</f>
        <v>0.13313230247374344</v>
      </c>
      <c r="K116" s="64">
        <f>K108/K88</f>
        <v>0.109443939840665</v>
      </c>
      <c r="L116" s="64">
        <f>L108/L88</f>
        <v>0.12944198086452274</v>
      </c>
      <c r="M116" s="59"/>
      <c r="N116" s="59"/>
    </row>
    <row r="117" spans="1:14" ht="22" customHeight="1">
      <c r="A117" s="59"/>
      <c r="B117" s="59"/>
      <c r="C117" s="68" t="s">
        <v>1428</v>
      </c>
      <c r="D117" s="61"/>
      <c r="E117" s="61"/>
      <c r="F117" s="61"/>
      <c r="G117" s="61"/>
      <c r="H117" s="64">
        <f>H93/H88</f>
        <v>0.17275053089061479</v>
      </c>
      <c r="I117" s="64">
        <f>I93/I88</f>
        <v>0.17392452165388145</v>
      </c>
      <c r="J117" s="64">
        <f>J93/J88</f>
        <v>0.17456174999160678</v>
      </c>
      <c r="K117" s="64">
        <f>K93/K88</f>
        <v>0.17466138192589387</v>
      </c>
      <c r="L117" s="64">
        <f>L93/L88</f>
        <v>0.17522251269334269</v>
      </c>
      <c r="M117" s="59"/>
      <c r="N117" s="59"/>
    </row>
    <row r="118" spans="1:14" ht="22" customHeight="1">
      <c r="A118" s="59"/>
      <c r="B118" s="59"/>
      <c r="C118" s="68" t="s">
        <v>1429</v>
      </c>
      <c r="D118" s="61"/>
      <c r="E118" s="61"/>
      <c r="F118" s="61"/>
      <c r="G118" s="61"/>
      <c r="H118" s="91">
        <f>'02 Model'!H99-'02 Model'!H98-H113-H114+H92+H95+H100+('03 Schedules'!H117-'03 Schedules'!G117)+('02 Model'!H70-'02 Model'!G70)-(H104-H104)</f>
        <v>978.48505011438294</v>
      </c>
      <c r="I118" s="91">
        <f>'02 Model'!I99-'02 Model'!I98-I113-I114+I92+I95+I100+('03 Schedules'!I117-'03 Schedules'!H117)+('02 Model'!I70-'02 Model'!H70)-(I104-H104)</f>
        <v>827.84945916813717</v>
      </c>
      <c r="J118" s="91">
        <f>'02 Model'!J99-'02 Model'!J98-J113-J114+J92+J95+J100+('03 Schedules'!J117-'03 Schedules'!I117)+('02 Model'!J70-'02 Model'!I70)-(J104-I104)</f>
        <v>1081.7191238978985</v>
      </c>
      <c r="K118" s="91">
        <f>'02 Model'!K99-'02 Model'!K98-K113-K114+K92+K95+K100+('03 Schedules'!K117-'03 Schedules'!J117)+('02 Model'!K70-'02 Model'!J70)-(K104-J104)</f>
        <v>933.710155586871</v>
      </c>
      <c r="L118" s="91">
        <f>'02 Model'!L99-'02 Model'!L98-L113-L114+L92+L95+L100+('03 Schedules'!L117-'03 Schedules'!K117)+('02 Model'!L70-'02 Model'!K70)-(L104-K104)</f>
        <v>1154.0159319969966</v>
      </c>
      <c r="M118" s="59"/>
      <c r="N118" s="59"/>
    </row>
    <row r="119" spans="1:14" ht="22" customHeight="1">
      <c r="A119" s="59"/>
      <c r="B119" s="59"/>
      <c r="C119" s="68" t="s">
        <v>1430</v>
      </c>
      <c r="D119" s="61"/>
      <c r="E119" s="61"/>
      <c r="F119" s="61"/>
      <c r="G119" s="61"/>
      <c r="H119" s="81">
        <f>H108-H118</f>
        <v>0</v>
      </c>
      <c r="I119" s="81">
        <f>I108-I118</f>
        <v>0</v>
      </c>
      <c r="J119" s="81">
        <f>J108-J118</f>
        <v>0</v>
      </c>
      <c r="K119" s="81">
        <f>K108-K118</f>
        <v>0</v>
      </c>
      <c r="L119" s="81">
        <f>L108-L118</f>
        <v>0</v>
      </c>
      <c r="M119" s="59"/>
      <c r="N119" s="59"/>
    </row>
    <row r="120" spans="1:14" ht="22" customHeight="1">
      <c r="A120" s="59"/>
      <c r="B120" s="59"/>
      <c r="C120" s="61"/>
      <c r="D120" s="61"/>
      <c r="E120" s="61"/>
      <c r="F120" s="61"/>
      <c r="G120" s="61"/>
      <c r="H120" s="61"/>
      <c r="I120" s="61"/>
      <c r="J120" s="61"/>
      <c r="K120" s="61"/>
      <c r="L120" s="61"/>
      <c r="M120" s="59"/>
      <c r="N120" s="59"/>
    </row>
    <row r="121" spans="1:14" ht="38" customHeight="1">
      <c r="A121" s="59"/>
      <c r="B121" s="59"/>
      <c r="C121" s="112" t="s">
        <v>1431</v>
      </c>
      <c r="D121" s="1"/>
      <c r="E121" s="1"/>
      <c r="F121" s="1"/>
      <c r="G121" s="1"/>
      <c r="H121" s="1"/>
      <c r="I121" s="1"/>
      <c r="J121" s="1"/>
      <c r="K121" s="1"/>
      <c r="L121" s="1"/>
      <c r="M121" s="59"/>
      <c r="N121" s="59"/>
    </row>
    <row r="122" spans="1:14" ht="22" customHeight="1">
      <c r="A122" s="59"/>
      <c r="B122" s="59"/>
      <c r="C122" s="61"/>
      <c r="D122" s="61"/>
      <c r="E122" s="61"/>
      <c r="F122" s="61"/>
      <c r="G122" s="61"/>
      <c r="H122" s="61"/>
      <c r="I122" s="61"/>
      <c r="J122" s="61"/>
      <c r="K122" s="61"/>
      <c r="L122" s="61"/>
      <c r="M122" s="59"/>
      <c r="N122" s="59"/>
    </row>
    <row r="123" spans="1:14" ht="38" customHeight="1">
      <c r="A123" s="59"/>
      <c r="B123" s="59"/>
      <c r="C123" s="112" t="s">
        <v>1432</v>
      </c>
      <c r="D123" s="1"/>
      <c r="E123" s="1"/>
      <c r="F123" s="1"/>
      <c r="G123" s="1"/>
      <c r="H123" s="1"/>
      <c r="I123" s="1"/>
      <c r="J123" s="1"/>
      <c r="K123" s="1"/>
      <c r="L123" s="1"/>
      <c r="M123" s="59"/>
      <c r="N123" s="59"/>
    </row>
    <row r="124" spans="1:14" ht="25" customHeight="1">
      <c r="A124" s="59"/>
      <c r="B124" s="59"/>
      <c r="C124" s="61"/>
      <c r="D124" s="61"/>
      <c r="E124" s="61"/>
      <c r="F124" s="61"/>
      <c r="G124" s="61"/>
      <c r="H124" s="61"/>
      <c r="I124" s="61"/>
      <c r="J124" s="61"/>
      <c r="K124" s="61"/>
      <c r="L124" s="61"/>
      <c r="M124" s="59"/>
      <c r="N124" s="59"/>
    </row>
    <row r="125" spans="1:14" ht="22" customHeight="1">
      <c r="A125" s="59"/>
      <c r="B125" s="59"/>
      <c r="C125" s="61"/>
      <c r="D125" s="61"/>
      <c r="E125" s="61"/>
      <c r="F125" s="61"/>
      <c r="G125" s="61"/>
      <c r="H125" s="61"/>
      <c r="I125" s="61"/>
      <c r="J125" s="61"/>
      <c r="K125" s="61"/>
      <c r="L125" s="61"/>
      <c r="M125" s="59"/>
      <c r="N125" s="59"/>
    </row>
    <row r="126" spans="1:14" ht="25" customHeight="1">
      <c r="A126" s="59"/>
      <c r="B126" s="59"/>
      <c r="C126" s="60" t="s">
        <v>1433</v>
      </c>
      <c r="D126" s="60"/>
      <c r="E126" s="60"/>
      <c r="F126" s="60"/>
      <c r="G126" s="60"/>
      <c r="H126" s="60"/>
      <c r="I126" s="60"/>
      <c r="J126" s="60"/>
      <c r="K126" s="60"/>
      <c r="L126" s="60"/>
      <c r="M126" s="59"/>
      <c r="N126" s="59"/>
    </row>
    <row r="127" spans="1:14" ht="30" customHeight="1">
      <c r="A127" s="59"/>
      <c r="B127" s="59"/>
      <c r="C127" s="61"/>
      <c r="D127" s="61"/>
      <c r="E127" s="61"/>
      <c r="F127" s="61"/>
      <c r="G127" s="61"/>
      <c r="H127" s="61"/>
      <c r="I127" s="61"/>
      <c r="J127" s="61"/>
      <c r="K127" s="61"/>
      <c r="L127" s="61"/>
      <c r="M127" s="59"/>
      <c r="N127" s="59"/>
    </row>
    <row r="128" spans="1:14" ht="23" customHeight="1">
      <c r="A128" s="59"/>
      <c r="B128" s="59"/>
      <c r="C128" s="68" t="s">
        <v>1434</v>
      </c>
      <c r="D128" s="68"/>
      <c r="E128" s="68"/>
      <c r="F128" s="68"/>
      <c r="G128" s="68"/>
      <c r="H128" s="72">
        <v>2032</v>
      </c>
      <c r="I128" s="72">
        <v>2033</v>
      </c>
      <c r="J128" s="72">
        <v>2034</v>
      </c>
      <c r="K128" s="72">
        <v>2035</v>
      </c>
      <c r="L128" s="72">
        <v>2036</v>
      </c>
      <c r="M128" s="59"/>
      <c r="N128" s="59"/>
    </row>
    <row r="129" spans="1:14" ht="23" customHeight="1">
      <c r="A129" s="59"/>
      <c r="B129" s="59"/>
      <c r="C129" s="68" t="s">
        <v>54</v>
      </c>
      <c r="D129" s="68"/>
      <c r="E129" s="68"/>
      <c r="F129" s="68"/>
      <c r="G129" s="68"/>
      <c r="H129" s="79">
        <v>0.04</v>
      </c>
      <c r="I129" s="79">
        <v>3.5000000000000003E-2</v>
      </c>
      <c r="J129" s="79">
        <v>0.03</v>
      </c>
      <c r="K129" s="79">
        <v>2.5000000000000001E-2</v>
      </c>
      <c r="L129" s="79">
        <v>0.02</v>
      </c>
      <c r="M129" s="59"/>
      <c r="N129" s="59"/>
    </row>
    <row r="130" spans="1:14" ht="23" customHeight="1">
      <c r="A130" s="59"/>
      <c r="B130" s="59"/>
      <c r="C130" s="68" t="s">
        <v>33</v>
      </c>
      <c r="D130" s="68"/>
      <c r="E130" s="68"/>
      <c r="F130" s="68"/>
      <c r="G130" s="68"/>
      <c r="H130" s="68">
        <f>L88*(1+H129)</f>
        <v>9271.9267834213042</v>
      </c>
      <c r="I130" s="68">
        <f>H130*(1+I129)</f>
        <v>9596.4442208410492</v>
      </c>
      <c r="J130" s="68">
        <f>I130*(1+J129)</f>
        <v>9884.3375474662807</v>
      </c>
      <c r="K130" s="68">
        <f>J130*(1+K129)</f>
        <v>10131.445986152938</v>
      </c>
      <c r="L130" s="68">
        <f>K130*(1+L129)</f>
        <v>10334.074905875996</v>
      </c>
      <c r="M130" s="59"/>
      <c r="N130" s="59"/>
    </row>
    <row r="131" spans="1:14" ht="23" customHeight="1">
      <c r="A131" s="59"/>
      <c r="B131" s="59"/>
      <c r="C131" s="68" t="s">
        <v>1435</v>
      </c>
      <c r="D131" s="68"/>
      <c r="E131" s="68"/>
      <c r="F131" s="68"/>
      <c r="G131" s="68"/>
      <c r="H131" s="64">
        <f>$G$153</f>
        <v>0.17522251269334269</v>
      </c>
      <c r="I131" s="64">
        <f>$G$153</f>
        <v>0.17522251269334269</v>
      </c>
      <c r="J131" s="64">
        <f>$G$153</f>
        <v>0.17522251269334269</v>
      </c>
      <c r="K131" s="64">
        <f>$G$153</f>
        <v>0.17522251269334269</v>
      </c>
      <c r="L131" s="64">
        <f>$G$153</f>
        <v>0.17522251269334269</v>
      </c>
      <c r="M131" s="59"/>
      <c r="N131" s="59"/>
    </row>
    <row r="132" spans="1:14" ht="23" customHeight="1">
      <c r="A132" s="59"/>
      <c r="B132" s="59"/>
      <c r="C132" s="68" t="s">
        <v>1436</v>
      </c>
      <c r="D132" s="68"/>
      <c r="E132" s="68"/>
      <c r="F132" s="68"/>
      <c r="G132" s="68"/>
      <c r="H132" s="68">
        <f>H130*H131</f>
        <v>1624.6503084997835</v>
      </c>
      <c r="I132" s="68">
        <f>I130*I131</f>
        <v>1681.5130692972757</v>
      </c>
      <c r="J132" s="68">
        <f>J130*J131</f>
        <v>1731.958461376194</v>
      </c>
      <c r="K132" s="68">
        <f>K130*K131</f>
        <v>1775.257422910599</v>
      </c>
      <c r="L132" s="68">
        <f>L130*L131</f>
        <v>1810.7625713688108</v>
      </c>
      <c r="M132" s="59"/>
      <c r="N132" s="59"/>
    </row>
    <row r="133" spans="1:14" ht="23" customHeight="1">
      <c r="A133" s="59"/>
      <c r="B133" s="59"/>
      <c r="C133" s="68" t="s">
        <v>1437</v>
      </c>
      <c r="D133" s="68"/>
      <c r="E133" s="68"/>
      <c r="F133" s="68"/>
      <c r="G133" s="68"/>
      <c r="H133" s="64">
        <f>$G$154</f>
        <v>0.25</v>
      </c>
      <c r="I133" s="64">
        <f>$G$154</f>
        <v>0.25</v>
      </c>
      <c r="J133" s="64">
        <f>$G$154</f>
        <v>0.25</v>
      </c>
      <c r="K133" s="64">
        <f>$G$154</f>
        <v>0.25</v>
      </c>
      <c r="L133" s="64">
        <f>$G$154</f>
        <v>0.25</v>
      </c>
      <c r="M133" s="59"/>
      <c r="N133" s="59"/>
    </row>
    <row r="134" spans="1:14" ht="23" customHeight="1">
      <c r="A134" s="59"/>
      <c r="B134" s="59"/>
      <c r="C134" s="73" t="s">
        <v>1408</v>
      </c>
      <c r="D134" s="73"/>
      <c r="E134" s="73"/>
      <c r="F134" s="73"/>
      <c r="G134" s="73"/>
      <c r="H134" s="73">
        <f>H132*(1-H133)</f>
        <v>1218.4877313748375</v>
      </c>
      <c r="I134" s="73">
        <f>I132*(1-I133)</f>
        <v>1261.1348019729567</v>
      </c>
      <c r="J134" s="73">
        <f>J132*(1-J133)</f>
        <v>1298.9688460321454</v>
      </c>
      <c r="K134" s="73">
        <f>K132*(1-K133)</f>
        <v>1331.4430671829491</v>
      </c>
      <c r="L134" s="73">
        <f>L132*(1-L133)</f>
        <v>1358.0719285266082</v>
      </c>
      <c r="M134" s="59"/>
      <c r="N134" s="59"/>
    </row>
    <row r="135" spans="1:14" ht="23" customHeight="1">
      <c r="A135" s="59"/>
      <c r="B135" s="59"/>
      <c r="C135" s="68" t="s">
        <v>1438</v>
      </c>
      <c r="D135" s="68"/>
      <c r="E135" s="68"/>
      <c r="F135" s="68"/>
      <c r="G135" s="68"/>
      <c r="H135" s="64">
        <f>$G$155</f>
        <v>0.2</v>
      </c>
      <c r="I135" s="64">
        <f>$G$155</f>
        <v>0.2</v>
      </c>
      <c r="J135" s="64">
        <f>$G$155</f>
        <v>0.2</v>
      </c>
      <c r="K135" s="64">
        <f>$G$155</f>
        <v>0.2</v>
      </c>
      <c r="L135" s="64">
        <f>$G$155</f>
        <v>0.2</v>
      </c>
      <c r="M135" s="59"/>
      <c r="N135" s="59"/>
    </row>
    <row r="136" spans="1:14" ht="23" customHeight="1">
      <c r="A136" s="59"/>
      <c r="B136" s="59"/>
      <c r="C136" s="68" t="s">
        <v>1439</v>
      </c>
      <c r="D136" s="68"/>
      <c r="E136" s="68"/>
      <c r="F136" s="68"/>
      <c r="G136" s="68"/>
      <c r="H136" s="64">
        <f>H129/H135</f>
        <v>0.19999999999999998</v>
      </c>
      <c r="I136" s="64">
        <f>I129/I135</f>
        <v>0.17500000000000002</v>
      </c>
      <c r="J136" s="64">
        <f>J129/J135</f>
        <v>0.15</v>
      </c>
      <c r="K136" s="64">
        <f>K129/K135</f>
        <v>0.125</v>
      </c>
      <c r="L136" s="64">
        <f>L129/L135</f>
        <v>9.9999999999999992E-2</v>
      </c>
      <c r="M136" s="59"/>
      <c r="N136" s="59"/>
    </row>
    <row r="137" spans="1:14" ht="23" customHeight="1">
      <c r="A137" s="59"/>
      <c r="B137" s="59"/>
      <c r="C137" s="68" t="s">
        <v>1440</v>
      </c>
      <c r="D137" s="68"/>
      <c r="E137" s="68"/>
      <c r="F137" s="68"/>
      <c r="G137" s="68"/>
      <c r="H137" s="68">
        <f>H134*H136</f>
        <v>243.69754627496746</v>
      </c>
      <c r="I137" s="68">
        <f>I134*I136</f>
        <v>220.69859034526743</v>
      </c>
      <c r="J137" s="68">
        <f>J134*J136</f>
        <v>194.8453269048218</v>
      </c>
      <c r="K137" s="68">
        <f>K134*K136</f>
        <v>166.43038339786864</v>
      </c>
      <c r="L137" s="68">
        <f>L134*L136</f>
        <v>135.80719285266082</v>
      </c>
      <c r="M137" s="59"/>
      <c r="N137" s="59"/>
    </row>
    <row r="138" spans="1:14" ht="23" customHeight="1">
      <c r="A138" s="59"/>
      <c r="B138" s="59"/>
      <c r="C138" s="73" t="s">
        <v>1441</v>
      </c>
      <c r="D138" s="73"/>
      <c r="E138" s="73"/>
      <c r="F138" s="73"/>
      <c r="G138" s="73"/>
      <c r="H138" s="73">
        <f>H134-H137</f>
        <v>974.79018509987009</v>
      </c>
      <c r="I138" s="73">
        <f>I134-I137</f>
        <v>1040.4362116276893</v>
      </c>
      <c r="J138" s="73">
        <f>J134-J137</f>
        <v>1104.1235191273236</v>
      </c>
      <c r="K138" s="73">
        <f>K134-K137</f>
        <v>1165.0126837850805</v>
      </c>
      <c r="L138" s="73">
        <f>L134-L137</f>
        <v>1222.2647356739474</v>
      </c>
      <c r="M138" s="59"/>
      <c r="N138" s="59"/>
    </row>
    <row r="139" spans="1:14" ht="23" customHeight="1">
      <c r="A139" s="59"/>
      <c r="B139" s="59"/>
      <c r="C139" s="68" t="s">
        <v>1442</v>
      </c>
      <c r="D139" s="68"/>
      <c r="E139" s="68"/>
      <c r="F139" s="68"/>
      <c r="G139" s="68"/>
      <c r="H139" s="71">
        <f>L87+1</f>
        <v>5.3863013698630136</v>
      </c>
      <c r="I139" s="71">
        <f>H139+1</f>
        <v>6.3863013698630136</v>
      </c>
      <c r="J139" s="71">
        <f>I139+1</f>
        <v>7.3863013698630136</v>
      </c>
      <c r="K139" s="71">
        <f>J139+1</f>
        <v>8.3863013698630127</v>
      </c>
      <c r="L139" s="71">
        <f>K139+1</f>
        <v>9.3863013698630127</v>
      </c>
      <c r="M139" s="59"/>
      <c r="N139" s="59"/>
    </row>
    <row r="140" spans="1:14" ht="23" customHeight="1">
      <c r="A140" s="59"/>
      <c r="B140" s="59"/>
      <c r="C140" s="68" t="s">
        <v>1443</v>
      </c>
      <c r="D140" s="68"/>
      <c r="E140" s="68"/>
      <c r="F140" s="68"/>
      <c r="G140" s="68"/>
      <c r="H140" s="71">
        <f>1/(1+$G$74)^H139</f>
        <v>0.60194132513961962</v>
      </c>
      <c r="I140" s="71">
        <f>1/(1+$G$74)^I139</f>
        <v>0.54780631329775653</v>
      </c>
      <c r="J140" s="71">
        <f>1/(1+$G$74)^J139</f>
        <v>0.49853988147312173</v>
      </c>
      <c r="K140" s="71">
        <f>1/(1+$G$74)^K139</f>
        <v>0.4537041786229668</v>
      </c>
      <c r="L140" s="71">
        <f>1/(1+$G$74)^L139</f>
        <v>0.41290073141528411</v>
      </c>
      <c r="M140" s="59"/>
      <c r="N140" s="59"/>
    </row>
    <row r="141" spans="1:14" ht="23" customHeight="1">
      <c r="A141" s="59"/>
      <c r="B141" s="59"/>
      <c r="C141" s="73" t="s">
        <v>1444</v>
      </c>
      <c r="D141" s="73"/>
      <c r="E141" s="73"/>
      <c r="F141" s="73"/>
      <c r="G141" s="73"/>
      <c r="H141" s="73">
        <f>H138*H140</f>
        <v>586.76649575211093</v>
      </c>
      <c r="I141" s="73">
        <f>I138*I140</f>
        <v>569.95752531324888</v>
      </c>
      <c r="J141" s="73">
        <f>J138*J140</f>
        <v>550.44960835742199</v>
      </c>
      <c r="K141" s="73">
        <f>K138*K140</f>
        <v>528.57112278204806</v>
      </c>
      <c r="L141" s="73">
        <f>L138*L140</f>
        <v>504.67400334288175</v>
      </c>
      <c r="M141" s="59"/>
      <c r="N141" s="59"/>
    </row>
    <row r="142" spans="1:14" ht="23" customHeight="1">
      <c r="A142" s="59"/>
      <c r="B142" s="59"/>
      <c r="C142" s="68"/>
      <c r="D142" s="68"/>
      <c r="E142" s="68"/>
      <c r="F142" s="68"/>
      <c r="G142" s="68"/>
      <c r="H142" s="68"/>
      <c r="I142" s="68"/>
      <c r="J142" s="68"/>
      <c r="K142" s="68"/>
      <c r="L142" s="68"/>
      <c r="M142" s="59"/>
      <c r="N142" s="59"/>
    </row>
    <row r="143" spans="1:14" ht="23" customHeight="1">
      <c r="A143" s="59"/>
      <c r="B143" s="59"/>
      <c r="C143" s="68" t="s">
        <v>1445</v>
      </c>
      <c r="D143" s="68"/>
      <c r="E143" s="68"/>
      <c r="F143" s="68"/>
      <c r="G143" s="68">
        <f>SUM(H141:L141)</f>
        <v>2740.418755547712</v>
      </c>
      <c r="H143" s="68"/>
      <c r="I143" s="68"/>
      <c r="J143" s="68"/>
      <c r="K143" s="68"/>
      <c r="L143" s="68"/>
      <c r="M143" s="59"/>
      <c r="N143" s="59"/>
    </row>
    <row r="144" spans="1:14" ht="23" customHeight="1">
      <c r="A144" s="59"/>
      <c r="B144" s="59"/>
      <c r="C144" s="68"/>
      <c r="D144" s="68"/>
      <c r="E144" s="68"/>
      <c r="F144" s="68"/>
      <c r="G144" s="68"/>
      <c r="H144" s="68"/>
      <c r="I144" s="68"/>
      <c r="J144" s="68"/>
      <c r="K144" s="68"/>
      <c r="L144" s="68"/>
      <c r="M144" s="59"/>
      <c r="N144" s="59"/>
    </row>
    <row r="145" spans="1:14" ht="34" customHeight="1">
      <c r="A145" s="59"/>
      <c r="B145" s="59"/>
      <c r="C145" s="115" t="s">
        <v>1446</v>
      </c>
      <c r="D145" s="115"/>
      <c r="E145" s="115"/>
      <c r="F145" s="115"/>
      <c r="G145" s="115"/>
      <c r="H145" s="115"/>
      <c r="I145" s="115"/>
      <c r="J145" s="115"/>
      <c r="K145" s="115"/>
      <c r="L145" s="115"/>
      <c r="M145" s="59"/>
      <c r="N145" s="59"/>
    </row>
    <row r="146" spans="1:14" ht="30" customHeight="1">
      <c r="A146" s="59"/>
      <c r="B146" s="59"/>
      <c r="C146" s="61"/>
      <c r="D146" s="61"/>
      <c r="E146" s="61"/>
      <c r="F146" s="61"/>
      <c r="G146" s="61"/>
      <c r="H146" s="61"/>
      <c r="I146" s="61"/>
      <c r="J146" s="61"/>
      <c r="K146" s="61"/>
      <c r="L146" s="61"/>
      <c r="M146" s="59"/>
      <c r="N146" s="59"/>
    </row>
    <row r="147" spans="1:14" ht="34" customHeight="1">
      <c r="A147" s="59"/>
      <c r="B147" s="59"/>
      <c r="C147" s="115" t="s">
        <v>1447</v>
      </c>
      <c r="D147" s="115"/>
      <c r="E147" s="115"/>
      <c r="F147" s="115"/>
      <c r="G147" s="115"/>
      <c r="H147" s="115"/>
      <c r="I147" s="115"/>
      <c r="J147" s="115"/>
      <c r="K147" s="115"/>
      <c r="L147" s="115"/>
      <c r="M147" s="59"/>
      <c r="N147" s="59"/>
    </row>
    <row r="148" spans="1:14" ht="22" customHeight="1">
      <c r="A148" s="59"/>
      <c r="B148" s="59"/>
      <c r="C148" s="61"/>
      <c r="D148" s="61"/>
      <c r="E148" s="61"/>
      <c r="F148" s="61"/>
      <c r="G148" s="61"/>
      <c r="H148" s="61"/>
      <c r="I148" s="61"/>
      <c r="J148" s="61"/>
      <c r="K148" s="61"/>
      <c r="L148" s="61"/>
      <c r="M148" s="59"/>
      <c r="N148" s="59"/>
    </row>
    <row r="149" spans="1:14" ht="22" customHeight="1">
      <c r="A149" s="59"/>
      <c r="B149" s="59"/>
      <c r="C149" s="61"/>
      <c r="D149" s="61"/>
      <c r="E149" s="61"/>
      <c r="F149" s="61"/>
      <c r="G149" s="61"/>
      <c r="H149" s="61"/>
      <c r="I149" s="61"/>
      <c r="J149" s="61"/>
      <c r="K149" s="61"/>
      <c r="L149" s="61"/>
      <c r="M149" s="59"/>
      <c r="N149" s="59"/>
    </row>
    <row r="150" spans="1:14" ht="25" customHeight="1">
      <c r="A150" s="59"/>
      <c r="B150" s="59"/>
      <c r="C150" s="75" t="s">
        <v>1448</v>
      </c>
      <c r="D150" s="60"/>
      <c r="E150" s="60"/>
      <c r="F150" s="60"/>
      <c r="G150" s="60"/>
      <c r="H150" s="60"/>
      <c r="I150" s="60"/>
      <c r="J150" s="60"/>
      <c r="K150" s="60"/>
      <c r="L150" s="60"/>
      <c r="M150" s="59"/>
      <c r="N150" s="59"/>
    </row>
    <row r="151" spans="1:14" ht="22" customHeight="1">
      <c r="A151" s="59"/>
      <c r="B151" s="59"/>
      <c r="C151" s="61"/>
      <c r="D151" s="61"/>
      <c r="E151" s="61"/>
      <c r="F151" s="61"/>
      <c r="G151" s="61"/>
      <c r="H151" s="61"/>
      <c r="I151" s="61"/>
      <c r="J151" s="61"/>
      <c r="K151" s="61"/>
      <c r="L151" s="61"/>
      <c r="M151" s="59"/>
      <c r="N151" s="59"/>
    </row>
    <row r="152" spans="1:14" ht="30" customHeight="1">
      <c r="A152" s="59"/>
      <c r="B152" s="59"/>
      <c r="C152" s="68" t="s">
        <v>1449</v>
      </c>
      <c r="D152" s="61"/>
      <c r="E152" s="61"/>
      <c r="F152" s="61"/>
      <c r="G152" s="68">
        <f>L93</f>
        <v>1562.1637581728687</v>
      </c>
      <c r="H152" s="112" t="s">
        <v>1450</v>
      </c>
      <c r="I152" s="1"/>
      <c r="J152" s="1"/>
      <c r="K152" s="1"/>
      <c r="L152" s="1"/>
      <c r="M152" s="59"/>
      <c r="N152" s="59"/>
    </row>
    <row r="153" spans="1:14" ht="30" customHeight="1">
      <c r="A153" s="59"/>
      <c r="B153" s="59"/>
      <c r="C153" s="68" t="s">
        <v>1451</v>
      </c>
      <c r="D153" s="61"/>
      <c r="E153" s="61"/>
      <c r="F153" s="61"/>
      <c r="G153" s="64">
        <f>L117</f>
        <v>0.17522251269334269</v>
      </c>
      <c r="H153" s="112" t="s">
        <v>1452</v>
      </c>
      <c r="I153" s="1"/>
      <c r="J153" s="1"/>
      <c r="K153" s="1"/>
      <c r="L153" s="1"/>
      <c r="M153" s="59"/>
      <c r="N153" s="59"/>
    </row>
    <row r="154" spans="1:14" ht="30" customHeight="1">
      <c r="A154" s="59"/>
      <c r="B154" s="59"/>
      <c r="C154" s="68" t="s">
        <v>1453</v>
      </c>
      <c r="D154" s="61"/>
      <c r="E154" s="61"/>
      <c r="F154" s="61"/>
      <c r="G154" s="64">
        <f>L94</f>
        <v>0.25</v>
      </c>
      <c r="H154" s="112" t="s">
        <v>1454</v>
      </c>
      <c r="I154" s="1"/>
      <c r="J154" s="1"/>
      <c r="K154" s="1"/>
      <c r="L154" s="1"/>
      <c r="M154" s="59"/>
      <c r="N154" s="59"/>
    </row>
    <row r="155" spans="1:14" ht="30" customHeight="1">
      <c r="A155" s="59"/>
      <c r="B155" s="59"/>
      <c r="C155" s="68" t="s">
        <v>1455</v>
      </c>
      <c r="D155" s="61"/>
      <c r="E155" s="61"/>
      <c r="F155" s="61"/>
      <c r="G155" s="88">
        <v>0.2</v>
      </c>
      <c r="H155" s="112" t="s">
        <v>1456</v>
      </c>
      <c r="I155" s="1"/>
      <c r="J155" s="1"/>
      <c r="K155" s="1"/>
      <c r="L155" s="1"/>
      <c r="M155" s="59"/>
      <c r="N155" s="59"/>
    </row>
    <row r="156" spans="1:14" ht="22" customHeight="1">
      <c r="A156" s="59"/>
      <c r="B156" s="59"/>
      <c r="C156" s="68" t="s">
        <v>1457</v>
      </c>
      <c r="D156" s="61"/>
      <c r="E156" s="61"/>
      <c r="F156" s="61"/>
      <c r="G156" s="108">
        <v>0.02</v>
      </c>
      <c r="H156" s="112" t="s">
        <v>1458</v>
      </c>
      <c r="I156" s="1"/>
      <c r="J156" s="1"/>
      <c r="K156" s="1"/>
      <c r="L156" s="1"/>
      <c r="M156" s="59"/>
      <c r="N156" s="59"/>
    </row>
    <row r="157" spans="1:14" ht="22" customHeight="1">
      <c r="A157" s="59"/>
      <c r="B157" s="59"/>
      <c r="C157" s="68" t="s">
        <v>1459</v>
      </c>
      <c r="D157" s="61"/>
      <c r="E157" s="61"/>
      <c r="F157" s="61"/>
      <c r="G157" s="68">
        <f>L130*(1+G156)</f>
        <v>10540.756403993515</v>
      </c>
      <c r="H157" s="112" t="s">
        <v>1460</v>
      </c>
      <c r="I157" s="1"/>
      <c r="J157" s="1"/>
      <c r="K157" s="1"/>
      <c r="L157" s="1"/>
      <c r="M157" s="59"/>
      <c r="N157" s="59"/>
    </row>
    <row r="158" spans="1:14" ht="30" customHeight="1">
      <c r="A158" s="59"/>
      <c r="B158" s="59"/>
      <c r="C158" s="68" t="s">
        <v>1461</v>
      </c>
      <c r="D158" s="61"/>
      <c r="E158" s="61"/>
      <c r="F158" s="61"/>
      <c r="G158" s="68">
        <f>G157*G153</f>
        <v>1846.977822796187</v>
      </c>
      <c r="H158" s="112" t="s">
        <v>1462</v>
      </c>
      <c r="I158" s="1"/>
      <c r="J158" s="1"/>
      <c r="K158" s="1"/>
      <c r="L158" s="1"/>
      <c r="M158" s="59"/>
      <c r="N158" s="59"/>
    </row>
    <row r="159" spans="1:14" ht="22" customHeight="1">
      <c r="A159" s="59"/>
      <c r="B159" s="59"/>
      <c r="C159" s="68" t="s">
        <v>1463</v>
      </c>
      <c r="D159" s="61"/>
      <c r="E159" s="61"/>
      <c r="F159" s="61"/>
      <c r="G159" s="68">
        <f>G158*(1-G154)</f>
        <v>1385.2333670971402</v>
      </c>
      <c r="H159" s="61"/>
      <c r="I159" s="61"/>
      <c r="J159" s="61"/>
      <c r="K159" s="61"/>
      <c r="L159" s="61"/>
      <c r="M159" s="59"/>
      <c r="N159" s="59"/>
    </row>
    <row r="160" spans="1:14" ht="30" customHeight="1">
      <c r="A160" s="59"/>
      <c r="B160" s="59"/>
      <c r="C160" s="68" t="s">
        <v>1464</v>
      </c>
      <c r="D160" s="61"/>
      <c r="E160" s="61"/>
      <c r="F160" s="61"/>
      <c r="G160" s="64">
        <f>G156/G155</f>
        <v>9.9999999999999992E-2</v>
      </c>
      <c r="H160" s="112" t="s">
        <v>1465</v>
      </c>
      <c r="I160" s="1"/>
      <c r="J160" s="1"/>
      <c r="K160" s="1"/>
      <c r="L160" s="1"/>
      <c r="M160" s="59"/>
      <c r="N160" s="59"/>
    </row>
    <row r="161" spans="1:14" ht="30" customHeight="1">
      <c r="A161" s="59"/>
      <c r="B161" s="59"/>
      <c r="C161" s="68" t="s">
        <v>1466</v>
      </c>
      <c r="D161" s="61"/>
      <c r="E161" s="61"/>
      <c r="F161" s="61"/>
      <c r="G161" s="68">
        <f>G159*G160</f>
        <v>138.52333670971402</v>
      </c>
      <c r="H161" s="112" t="s">
        <v>1467</v>
      </c>
      <c r="I161" s="1"/>
      <c r="J161" s="1"/>
      <c r="K161" s="1"/>
      <c r="L161" s="1"/>
      <c r="M161" s="59"/>
      <c r="N161" s="59"/>
    </row>
    <row r="162" spans="1:14" ht="30" customHeight="1">
      <c r="A162" s="59"/>
      <c r="B162" s="59"/>
      <c r="C162" s="68" t="s">
        <v>1468</v>
      </c>
      <c r="D162" s="61"/>
      <c r="E162" s="61"/>
      <c r="F162" s="61"/>
      <c r="G162" s="64">
        <f>AVERAGE(J105/J88,K105/K88,L105/L88)</f>
        <v>0.18831876826187599</v>
      </c>
      <c r="H162" s="112" t="s">
        <v>1469</v>
      </c>
      <c r="I162" s="1"/>
      <c r="J162" s="1"/>
      <c r="K162" s="1"/>
      <c r="L162" s="1"/>
      <c r="M162" s="59"/>
      <c r="N162" s="59"/>
    </row>
    <row r="163" spans="1:14" ht="30" customHeight="1">
      <c r="A163" s="59"/>
      <c r="B163" s="59"/>
      <c r="C163" s="68" t="s">
        <v>1470</v>
      </c>
      <c r="D163" s="61"/>
      <c r="E163" s="61"/>
      <c r="F163" s="61"/>
      <c r="G163" s="68">
        <f>G162*(G157-L130)</f>
        <v>38.922005148010491</v>
      </c>
      <c r="H163" s="112" t="s">
        <v>1471</v>
      </c>
      <c r="I163" s="1"/>
      <c r="J163" s="1"/>
      <c r="K163" s="1"/>
      <c r="L163" s="1"/>
      <c r="M163" s="59"/>
      <c r="N163" s="59"/>
    </row>
    <row r="164" spans="1:14" ht="30" customHeight="1">
      <c r="A164" s="59"/>
      <c r="B164" s="59"/>
      <c r="C164" s="68" t="s">
        <v>1472</v>
      </c>
      <c r="D164" s="61"/>
      <c r="E164" s="61"/>
      <c r="F164" s="61"/>
      <c r="G164" s="68">
        <f>SUM(L97:L98)*L130/L88*(1+G156)</f>
        <v>279.02757562991997</v>
      </c>
      <c r="H164" s="112" t="s">
        <v>1473</v>
      </c>
      <c r="I164" s="1"/>
      <c r="J164" s="1"/>
      <c r="K164" s="1"/>
      <c r="L164" s="1"/>
      <c r="M164" s="59"/>
      <c r="N164" s="59"/>
    </row>
    <row r="165" spans="1:14" ht="30" customHeight="1">
      <c r="A165" s="59"/>
      <c r="B165" s="59"/>
      <c r="C165" s="68" t="s">
        <v>1474</v>
      </c>
      <c r="D165" s="61"/>
      <c r="E165" s="61"/>
      <c r="F165" s="61"/>
      <c r="G165" s="68">
        <f>G161-G163</f>
        <v>99.601331561703518</v>
      </c>
      <c r="H165" s="112" t="s">
        <v>1475</v>
      </c>
      <c r="I165" s="1"/>
      <c r="J165" s="1"/>
      <c r="K165" s="1"/>
      <c r="L165" s="1"/>
      <c r="M165" s="59"/>
      <c r="N165" s="59"/>
    </row>
    <row r="166" spans="1:14" ht="30" customHeight="1">
      <c r="A166" s="59"/>
      <c r="B166" s="59"/>
      <c r="C166" s="68" t="s">
        <v>1476</v>
      </c>
      <c r="D166" s="61"/>
      <c r="E166" s="61"/>
      <c r="F166" s="61"/>
      <c r="G166" s="68">
        <f>G164+G165</f>
        <v>378.62890719162351</v>
      </c>
      <c r="H166" s="112" t="s">
        <v>1477</v>
      </c>
      <c r="I166" s="1"/>
      <c r="J166" s="1"/>
      <c r="K166" s="1"/>
      <c r="L166" s="1"/>
      <c r="M166" s="59"/>
      <c r="N166" s="59"/>
    </row>
    <row r="167" spans="1:14" ht="30" customHeight="1">
      <c r="A167" s="59"/>
      <c r="B167" s="59"/>
      <c r="C167" s="73" t="s">
        <v>1478</v>
      </c>
      <c r="D167" s="106"/>
      <c r="E167" s="106"/>
      <c r="F167" s="106"/>
      <c r="G167" s="73">
        <f>G159-G161</f>
        <v>1246.7100303874263</v>
      </c>
      <c r="H167" s="113" t="s">
        <v>1479</v>
      </c>
      <c r="I167" s="114"/>
      <c r="J167" s="114"/>
      <c r="K167" s="114"/>
      <c r="L167" s="114"/>
      <c r="M167" s="59"/>
      <c r="N167" s="59"/>
    </row>
    <row r="168" spans="1:14" ht="30" customHeight="1">
      <c r="A168" s="59"/>
      <c r="B168" s="59"/>
      <c r="C168" s="68" t="s">
        <v>1480</v>
      </c>
      <c r="D168" s="61"/>
      <c r="E168" s="61"/>
      <c r="F168" s="61"/>
      <c r="G168" s="68">
        <f>IF(G74&gt;G156,G167/(G74-G156),NA())</f>
        <v>15816.888657240628</v>
      </c>
      <c r="H168" s="112" t="s">
        <v>1481</v>
      </c>
      <c r="I168" s="1"/>
      <c r="J168" s="1"/>
      <c r="K168" s="1"/>
      <c r="L168" s="1"/>
      <c r="M168" s="59"/>
      <c r="N168" s="59"/>
    </row>
    <row r="169" spans="1:14" ht="22" customHeight="1">
      <c r="A169" s="59"/>
      <c r="B169" s="59"/>
      <c r="C169" s="68" t="s">
        <v>1482</v>
      </c>
      <c r="D169" s="61"/>
      <c r="E169" s="61"/>
      <c r="F169" s="61"/>
      <c r="G169" s="110">
        <f>L140</f>
        <v>0.41290073141528411</v>
      </c>
      <c r="H169" s="61"/>
      <c r="I169" s="61"/>
      <c r="J169" s="61"/>
      <c r="K169" s="61"/>
      <c r="L169" s="61"/>
      <c r="M169" s="59"/>
      <c r="N169" s="59"/>
    </row>
    <row r="170" spans="1:14" ht="22" customHeight="1">
      <c r="A170" s="59"/>
      <c r="B170" s="59"/>
      <c r="C170" s="68" t="s">
        <v>1483</v>
      </c>
      <c r="D170" s="61"/>
      <c r="E170" s="61"/>
      <c r="F170" s="61"/>
      <c r="G170" s="68">
        <f>G168*G169</f>
        <v>6530.8048952887666</v>
      </c>
      <c r="H170" s="61"/>
      <c r="I170" s="61"/>
      <c r="J170" s="61"/>
      <c r="K170" s="61"/>
      <c r="L170" s="61"/>
      <c r="M170" s="59"/>
      <c r="N170" s="59"/>
    </row>
    <row r="171" spans="1:14" ht="22" customHeight="1">
      <c r="A171" s="59"/>
      <c r="B171" s="59"/>
      <c r="C171" s="68" t="s">
        <v>1484</v>
      </c>
      <c r="D171" s="61"/>
      <c r="E171" s="61"/>
      <c r="F171" s="61"/>
      <c r="G171" s="68">
        <f>SUM(H111:L111)</f>
        <v>3406.5187612919945</v>
      </c>
      <c r="H171" s="61"/>
      <c r="I171" s="61"/>
      <c r="J171" s="61"/>
      <c r="K171" s="61"/>
      <c r="L171" s="61"/>
      <c r="M171" s="59"/>
      <c r="N171" s="59"/>
    </row>
    <row r="172" spans="1:14" ht="22" customHeight="1">
      <c r="A172" s="59"/>
      <c r="B172" s="59"/>
      <c r="C172" s="73" t="s">
        <v>1314</v>
      </c>
      <c r="D172" s="106"/>
      <c r="E172" s="106"/>
      <c r="F172" s="106"/>
      <c r="G172" s="73">
        <f>SUM(G170:G171,G143)</f>
        <v>12677.742412128471</v>
      </c>
      <c r="H172" s="106"/>
      <c r="I172" s="106"/>
      <c r="J172" s="106"/>
      <c r="K172" s="106"/>
      <c r="L172" s="106"/>
      <c r="M172" s="59"/>
      <c r="N172" s="59"/>
    </row>
    <row r="173" spans="1:14" ht="30" customHeight="1">
      <c r="A173" s="59"/>
      <c r="B173" s="59"/>
      <c r="C173" s="68" t="s">
        <v>1485</v>
      </c>
      <c r="D173" s="61"/>
      <c r="E173" s="61"/>
      <c r="F173" s="61"/>
      <c r="G173" s="64">
        <f>G170/G172</f>
        <v>0.5151394217507459</v>
      </c>
      <c r="H173" s="112" t="s">
        <v>1486</v>
      </c>
      <c r="I173" s="1"/>
      <c r="J173" s="1"/>
      <c r="K173" s="1"/>
      <c r="L173" s="1"/>
      <c r="M173" s="59"/>
      <c r="N173" s="59"/>
    </row>
    <row r="174" spans="1:14" ht="30" customHeight="1">
      <c r="A174" s="59"/>
      <c r="B174" s="59"/>
      <c r="C174" s="68" t="s">
        <v>1487</v>
      </c>
      <c r="D174" s="61"/>
      <c r="E174" s="61"/>
      <c r="F174" s="61"/>
      <c r="G174" s="63">
        <v>0.8</v>
      </c>
      <c r="H174" s="112" t="s">
        <v>1488</v>
      </c>
      <c r="I174" s="1"/>
      <c r="J174" s="1"/>
      <c r="K174" s="1"/>
      <c r="L174" s="1"/>
      <c r="M174" s="59"/>
      <c r="N174" s="59"/>
    </row>
    <row r="175" spans="1:14" ht="22" customHeight="1">
      <c r="A175" s="59"/>
      <c r="B175" s="59"/>
      <c r="C175" s="61"/>
      <c r="D175" s="61"/>
      <c r="E175" s="61"/>
      <c r="F175" s="61"/>
      <c r="G175" s="61"/>
      <c r="H175" s="61"/>
      <c r="I175" s="61"/>
      <c r="J175" s="61"/>
      <c r="K175" s="61"/>
      <c r="L175" s="61"/>
      <c r="M175" s="59"/>
      <c r="N175" s="59"/>
    </row>
    <row r="176" spans="1:14" ht="25" customHeight="1">
      <c r="A176" s="59"/>
      <c r="B176" s="59"/>
      <c r="C176" s="75" t="s">
        <v>1489</v>
      </c>
      <c r="D176" s="60"/>
      <c r="E176" s="60"/>
      <c r="F176" s="60"/>
      <c r="G176" s="60"/>
      <c r="H176" s="60"/>
      <c r="I176" s="60"/>
      <c r="J176" s="60"/>
      <c r="K176" s="60"/>
      <c r="L176" s="60"/>
      <c r="M176" s="59"/>
      <c r="N176" s="59"/>
    </row>
    <row r="177" spans="1:14" ht="22" customHeight="1">
      <c r="A177" s="59"/>
      <c r="B177" s="59"/>
      <c r="C177" s="61"/>
      <c r="D177" s="61"/>
      <c r="E177" s="61"/>
      <c r="F177" s="61"/>
      <c r="G177" s="61"/>
      <c r="H177" s="61"/>
      <c r="I177" s="61"/>
      <c r="J177" s="61"/>
      <c r="K177" s="61"/>
      <c r="L177" s="61"/>
      <c r="M177" s="59"/>
      <c r="N177" s="59"/>
    </row>
    <row r="178" spans="1:14" ht="22" customHeight="1">
      <c r="A178" s="59"/>
      <c r="B178" s="59"/>
      <c r="C178" s="68" t="s">
        <v>1314</v>
      </c>
      <c r="D178" s="61"/>
      <c r="E178" s="61"/>
      <c r="F178" s="61"/>
      <c r="G178" s="68">
        <f>G172</f>
        <v>12677.742412128471</v>
      </c>
      <c r="H178" s="61"/>
      <c r="I178" s="61"/>
      <c r="J178" s="61"/>
      <c r="K178" s="61"/>
      <c r="L178" s="61"/>
      <c r="M178" s="59"/>
      <c r="N178" s="59"/>
    </row>
    <row r="179" spans="1:14" ht="30" customHeight="1">
      <c r="A179" s="59"/>
      <c r="B179" s="59"/>
      <c r="C179" s="68" t="s">
        <v>1490</v>
      </c>
      <c r="D179" s="61"/>
      <c r="E179" s="61"/>
      <c r="F179" s="61"/>
      <c r="G179" s="91">
        <f>'02 Model'!G51</f>
        <v>96.2</v>
      </c>
      <c r="H179" s="112" t="s">
        <v>1491</v>
      </c>
      <c r="I179" s="1"/>
      <c r="J179" s="1"/>
      <c r="K179" s="1"/>
      <c r="L179" s="1"/>
      <c r="M179" s="59"/>
      <c r="N179" s="59"/>
    </row>
    <row r="180" spans="1:14" ht="30" customHeight="1">
      <c r="A180" s="59"/>
      <c r="B180" s="59"/>
      <c r="C180" s="68" t="s">
        <v>1492</v>
      </c>
      <c r="D180" s="61"/>
      <c r="E180" s="61"/>
      <c r="F180" s="61"/>
      <c r="G180" s="91">
        <f>'02 Model'!G137</f>
        <v>60.2</v>
      </c>
      <c r="H180" s="112" t="s">
        <v>1493</v>
      </c>
      <c r="I180" s="1"/>
      <c r="J180" s="1"/>
      <c r="K180" s="1"/>
      <c r="L180" s="1"/>
      <c r="M180" s="59"/>
      <c r="N180" s="59"/>
    </row>
    <row r="181" spans="1:14" ht="30" customHeight="1">
      <c r="A181" s="59"/>
      <c r="B181" s="59"/>
      <c r="C181" s="68" t="s">
        <v>1494</v>
      </c>
      <c r="D181" s="61"/>
      <c r="E181" s="61"/>
      <c r="F181" s="61"/>
      <c r="G181" s="68">
        <f>G179-G180</f>
        <v>36</v>
      </c>
      <c r="H181" s="112" t="s">
        <v>1495</v>
      </c>
      <c r="I181" s="1"/>
      <c r="J181" s="1"/>
      <c r="K181" s="1"/>
      <c r="L181" s="1"/>
      <c r="M181" s="59"/>
      <c r="N181" s="59"/>
    </row>
    <row r="182" spans="1:14" ht="30" customHeight="1">
      <c r="A182" s="59"/>
      <c r="B182" s="59"/>
      <c r="C182" s="68" t="s">
        <v>1496</v>
      </c>
      <c r="D182" s="61"/>
      <c r="E182" s="61"/>
      <c r="F182" s="61"/>
      <c r="G182" s="68">
        <f>-SUM('02 Model'!G57:G58,'02 Model'!G66)</f>
        <v>808.9</v>
      </c>
      <c r="H182" s="112" t="s">
        <v>1497</v>
      </c>
      <c r="I182" s="1"/>
      <c r="J182" s="1"/>
      <c r="K182" s="1"/>
      <c r="L182" s="1"/>
      <c r="M182" s="59"/>
      <c r="N182" s="59"/>
    </row>
    <row r="183" spans="1:14" ht="30" customHeight="1">
      <c r="A183" s="59"/>
      <c r="B183" s="59"/>
      <c r="C183" s="68" t="s">
        <v>1416</v>
      </c>
      <c r="D183" s="61"/>
      <c r="E183" s="61"/>
      <c r="F183" s="61"/>
      <c r="G183" s="91">
        <f>'01 Assumptions'!I33</f>
        <v>100</v>
      </c>
      <c r="H183" s="112" t="s">
        <v>1498</v>
      </c>
      <c r="I183" s="1"/>
      <c r="J183" s="1"/>
      <c r="K183" s="1"/>
      <c r="L183" s="1"/>
      <c r="M183" s="59"/>
      <c r="N183" s="59"/>
    </row>
    <row r="184" spans="1:14" ht="30" customHeight="1">
      <c r="A184" s="59"/>
      <c r="B184" s="59"/>
      <c r="C184" s="68" t="s">
        <v>1499</v>
      </c>
      <c r="D184" s="61"/>
      <c r="E184" s="61"/>
      <c r="F184" s="61"/>
      <c r="G184" s="68">
        <f>G179-G183</f>
        <v>-3.7999999999999972</v>
      </c>
      <c r="H184" s="112" t="s">
        <v>1500</v>
      </c>
      <c r="I184" s="1"/>
      <c r="J184" s="1"/>
      <c r="K184" s="1"/>
      <c r="L184" s="1"/>
      <c r="M184" s="59"/>
      <c r="N184" s="59"/>
    </row>
    <row r="185" spans="1:14" ht="30" customHeight="1">
      <c r="A185" s="59"/>
      <c r="B185" s="59"/>
      <c r="C185" s="68" t="s">
        <v>1501</v>
      </c>
      <c r="D185" s="61"/>
      <c r="E185" s="61"/>
      <c r="F185" s="61"/>
      <c r="G185" s="91">
        <f>'02 Model'!G40</f>
        <v>35.200000000000003</v>
      </c>
      <c r="H185" s="112" t="s">
        <v>1502</v>
      </c>
      <c r="I185" s="1"/>
      <c r="J185" s="1"/>
      <c r="K185" s="1"/>
      <c r="L185" s="1"/>
      <c r="M185" s="59"/>
      <c r="N185" s="59"/>
    </row>
    <row r="186" spans="1:14" ht="30" customHeight="1">
      <c r="A186" s="59"/>
      <c r="B186" s="59"/>
      <c r="C186" s="68" t="s">
        <v>1503</v>
      </c>
      <c r="D186" s="61"/>
      <c r="E186" s="61"/>
      <c r="F186" s="61"/>
      <c r="G186" s="91">
        <f>'03 Schedules'!G117</f>
        <v>19.899999999999999</v>
      </c>
      <c r="H186" s="112" t="s">
        <v>1504</v>
      </c>
      <c r="I186" s="1"/>
      <c r="J186" s="1"/>
      <c r="K186" s="1"/>
      <c r="L186" s="1"/>
      <c r="M186" s="59"/>
      <c r="N186" s="59"/>
    </row>
    <row r="187" spans="1:14" ht="30" customHeight="1">
      <c r="A187" s="59"/>
      <c r="B187" s="59"/>
      <c r="C187" s="68" t="s">
        <v>1505</v>
      </c>
      <c r="D187" s="61"/>
      <c r="E187" s="61"/>
      <c r="F187" s="61"/>
      <c r="G187" s="91">
        <f>'02 Model'!G41</f>
        <v>23</v>
      </c>
      <c r="H187" s="112" t="s">
        <v>1506</v>
      </c>
      <c r="I187" s="1"/>
      <c r="J187" s="1"/>
      <c r="K187" s="1"/>
      <c r="L187" s="1"/>
      <c r="M187" s="59"/>
      <c r="N187" s="59"/>
    </row>
    <row r="188" spans="1:14" ht="30" customHeight="1">
      <c r="A188" s="59"/>
      <c r="B188" s="59"/>
      <c r="C188" s="68" t="s">
        <v>1507</v>
      </c>
      <c r="D188" s="61"/>
      <c r="E188" s="61"/>
      <c r="F188" s="61"/>
      <c r="G188" s="63">
        <v>0</v>
      </c>
      <c r="H188" s="112" t="s">
        <v>1508</v>
      </c>
      <c r="I188" s="1"/>
      <c r="J188" s="1"/>
      <c r="K188" s="1"/>
      <c r="L188" s="1"/>
      <c r="M188" s="59"/>
      <c r="N188" s="59"/>
    </row>
    <row r="189" spans="1:14" ht="22" customHeight="1">
      <c r="A189" s="59"/>
      <c r="B189" s="59"/>
      <c r="C189" s="68" t="s">
        <v>1509</v>
      </c>
      <c r="D189" s="61"/>
      <c r="E189" s="61"/>
      <c r="F189" s="61"/>
      <c r="G189" s="68">
        <f>G187*G188</f>
        <v>0</v>
      </c>
      <c r="H189" s="61"/>
      <c r="I189" s="61"/>
      <c r="J189" s="61"/>
      <c r="K189" s="61"/>
      <c r="L189" s="61"/>
      <c r="M189" s="59"/>
      <c r="N189" s="59"/>
    </row>
    <row r="190" spans="1:14" ht="30" customHeight="1">
      <c r="A190" s="59"/>
      <c r="B190" s="59"/>
      <c r="C190" s="68" t="s">
        <v>1510</v>
      </c>
      <c r="D190" s="61"/>
      <c r="E190" s="61"/>
      <c r="F190" s="61"/>
      <c r="G190" s="91">
        <f>-'02 Model'!G67</f>
        <v>58.5</v>
      </c>
      <c r="H190" s="112" t="s">
        <v>1511</v>
      </c>
      <c r="I190" s="1"/>
      <c r="J190" s="1"/>
      <c r="K190" s="1"/>
      <c r="L190" s="1"/>
      <c r="M190" s="59"/>
      <c r="N190" s="59"/>
    </row>
    <row r="191" spans="1:14" ht="30" customHeight="1">
      <c r="A191" s="59"/>
      <c r="B191" s="59"/>
      <c r="C191" s="68" t="s">
        <v>1512</v>
      </c>
      <c r="D191" s="61"/>
      <c r="E191" s="61"/>
      <c r="F191" s="61"/>
      <c r="G191" s="68">
        <f>G190*(1-G68)</f>
        <v>43.875</v>
      </c>
      <c r="H191" s="112" t="s">
        <v>1513</v>
      </c>
      <c r="I191" s="1"/>
      <c r="J191" s="1"/>
      <c r="K191" s="1"/>
      <c r="L191" s="1"/>
      <c r="M191" s="59"/>
      <c r="N191" s="59"/>
    </row>
    <row r="192" spans="1:14" ht="30" customHeight="1">
      <c r="A192" s="59"/>
      <c r="B192" s="59"/>
      <c r="C192" s="68" t="s">
        <v>1514</v>
      </c>
      <c r="D192" s="61"/>
      <c r="E192" s="61"/>
      <c r="F192" s="61"/>
      <c r="G192" s="70">
        <v>1.1000000000000001</v>
      </c>
      <c r="H192" s="112" t="s">
        <v>1515</v>
      </c>
      <c r="I192" s="1"/>
      <c r="J192" s="1"/>
      <c r="K192" s="1"/>
      <c r="L192" s="1"/>
      <c r="M192" s="59"/>
      <c r="N192" s="59"/>
    </row>
    <row r="193" spans="1:14" ht="30" customHeight="1">
      <c r="A193" s="59"/>
      <c r="B193" s="59"/>
      <c r="C193" s="68" t="s">
        <v>1516</v>
      </c>
      <c r="D193" s="61"/>
      <c r="E193" s="61"/>
      <c r="F193" s="61"/>
      <c r="G193" s="91">
        <f>'02 Model'!G88</f>
        <v>118</v>
      </c>
      <c r="H193" s="112" t="s">
        <v>1517</v>
      </c>
      <c r="I193" s="1"/>
      <c r="J193" s="1"/>
      <c r="K193" s="1"/>
      <c r="L193" s="1"/>
      <c r="M193" s="59"/>
      <c r="N193" s="59"/>
    </row>
    <row r="194" spans="1:14" ht="30" customHeight="1">
      <c r="A194" s="59"/>
      <c r="B194" s="59"/>
      <c r="C194" s="68" t="s">
        <v>1518</v>
      </c>
      <c r="D194" s="61"/>
      <c r="E194" s="61"/>
      <c r="F194" s="61"/>
      <c r="G194" s="70">
        <v>37.799999999999997</v>
      </c>
      <c r="H194" s="112" t="s">
        <v>1519</v>
      </c>
      <c r="I194" s="1"/>
      <c r="J194" s="1"/>
      <c r="K194" s="1"/>
      <c r="L194" s="1"/>
      <c r="M194" s="59"/>
      <c r="N194" s="59"/>
    </row>
    <row r="195" spans="1:14" ht="30" customHeight="1">
      <c r="A195" s="59"/>
      <c r="B195" s="59"/>
      <c r="C195" s="68" t="s">
        <v>1520</v>
      </c>
      <c r="D195" s="61"/>
      <c r="E195" s="61"/>
      <c r="F195" s="61"/>
      <c r="G195" s="68">
        <f>MAX(G193,G194)</f>
        <v>118</v>
      </c>
      <c r="H195" s="112" t="s">
        <v>1521</v>
      </c>
      <c r="I195" s="1"/>
      <c r="J195" s="1"/>
      <c r="K195" s="1"/>
      <c r="L195" s="1"/>
      <c r="M195" s="59"/>
      <c r="N195" s="59"/>
    </row>
    <row r="196" spans="1:14" ht="30" customHeight="1">
      <c r="A196" s="59"/>
      <c r="B196" s="59"/>
      <c r="C196" s="68" t="s">
        <v>1522</v>
      </c>
      <c r="D196" s="61"/>
      <c r="E196" s="61"/>
      <c r="F196" s="61"/>
      <c r="G196" s="70">
        <v>0</v>
      </c>
      <c r="H196" s="112" t="s">
        <v>1523</v>
      </c>
      <c r="I196" s="1"/>
      <c r="J196" s="1"/>
      <c r="K196" s="1"/>
      <c r="L196" s="1"/>
      <c r="M196" s="59"/>
      <c r="N196" s="59"/>
    </row>
    <row r="197" spans="1:14" ht="30" customHeight="1">
      <c r="A197" s="59"/>
      <c r="B197" s="59"/>
      <c r="C197" s="68" t="s">
        <v>1524</v>
      </c>
      <c r="D197" s="61"/>
      <c r="E197" s="61"/>
      <c r="F197" s="61"/>
      <c r="G197" s="70">
        <v>0</v>
      </c>
      <c r="H197" s="112" t="s">
        <v>1525</v>
      </c>
      <c r="I197" s="1"/>
      <c r="J197" s="1"/>
      <c r="K197" s="1"/>
      <c r="L197" s="1"/>
      <c r="M197" s="59"/>
      <c r="N197" s="59"/>
    </row>
    <row r="198" spans="1:14" ht="30" customHeight="1">
      <c r="A198" s="59"/>
      <c r="B198" s="59"/>
      <c r="C198" s="68" t="s">
        <v>1526</v>
      </c>
      <c r="D198" s="61"/>
      <c r="E198" s="61"/>
      <c r="F198" s="61"/>
      <c r="G198" s="70">
        <v>0</v>
      </c>
      <c r="H198" s="112" t="s">
        <v>1527</v>
      </c>
      <c r="I198" s="1"/>
      <c r="J198" s="1"/>
      <c r="K198" s="1"/>
      <c r="L198" s="1"/>
      <c r="M198" s="59"/>
      <c r="N198" s="59"/>
    </row>
    <row r="199" spans="1:14" ht="22" customHeight="1">
      <c r="A199" s="59"/>
      <c r="B199" s="59"/>
      <c r="C199" s="68" t="s">
        <v>1528</v>
      </c>
      <c r="D199" s="61"/>
      <c r="E199" s="61"/>
      <c r="F199" s="61"/>
      <c r="G199" s="68">
        <f>G184+G185+G186+G189-G182-G191-G192-G195-G196-G197+G198</f>
        <v>-920.57500000000005</v>
      </c>
      <c r="H199" s="61"/>
      <c r="I199" s="61"/>
      <c r="J199" s="61"/>
      <c r="K199" s="61"/>
      <c r="L199" s="61"/>
      <c r="M199" s="59"/>
      <c r="N199" s="59"/>
    </row>
    <row r="200" spans="1:14" ht="22" customHeight="1">
      <c r="A200" s="59"/>
      <c r="B200" s="59"/>
      <c r="C200" s="73" t="s">
        <v>1316</v>
      </c>
      <c r="D200" s="106"/>
      <c r="E200" s="106"/>
      <c r="F200" s="106"/>
      <c r="G200" s="73">
        <f>G178+G199</f>
        <v>11757.16741212847</v>
      </c>
      <c r="H200" s="106"/>
      <c r="I200" s="106"/>
      <c r="J200" s="106"/>
      <c r="K200" s="106"/>
      <c r="L200" s="106"/>
      <c r="M200" s="59"/>
      <c r="N200" s="59"/>
    </row>
    <row r="201" spans="1:14" ht="22" customHeight="1">
      <c r="A201" s="59"/>
      <c r="B201" s="59"/>
      <c r="C201" s="68" t="s">
        <v>1354</v>
      </c>
      <c r="D201" s="61"/>
      <c r="E201" s="61"/>
      <c r="F201" s="61"/>
      <c r="G201" s="71">
        <f>G58</f>
        <v>116.452051</v>
      </c>
      <c r="H201" s="61"/>
      <c r="I201" s="61"/>
      <c r="J201" s="61"/>
      <c r="K201" s="61"/>
      <c r="L201" s="61"/>
      <c r="M201" s="59"/>
      <c r="N201" s="59"/>
    </row>
    <row r="202" spans="1:14" ht="22" customHeight="1">
      <c r="A202" s="59"/>
      <c r="B202" s="59"/>
      <c r="C202" s="61"/>
      <c r="D202" s="61"/>
      <c r="E202" s="61"/>
      <c r="F202" s="61"/>
      <c r="G202" s="61"/>
      <c r="H202" s="61"/>
      <c r="I202" s="61"/>
      <c r="J202" s="61"/>
      <c r="K202" s="61"/>
      <c r="L202" s="61"/>
      <c r="M202" s="59"/>
      <c r="N202" s="59"/>
    </row>
    <row r="203" spans="1:14" ht="30" customHeight="1">
      <c r="A203" s="59"/>
      <c r="B203" s="59"/>
      <c r="C203" s="73" t="s">
        <v>1308</v>
      </c>
      <c r="D203" s="106"/>
      <c r="E203" s="106"/>
      <c r="F203" s="106"/>
      <c r="G203" s="107">
        <f>G200/G201</f>
        <v>100.96144560071743</v>
      </c>
      <c r="H203" s="113" t="s">
        <v>1529</v>
      </c>
      <c r="I203" s="114"/>
      <c r="J203" s="114"/>
      <c r="K203" s="114"/>
      <c r="L203" s="114"/>
      <c r="M203" s="59"/>
      <c r="N203" s="59"/>
    </row>
    <row r="204" spans="1:14" ht="30" customHeight="1">
      <c r="A204" s="59"/>
      <c r="B204" s="59"/>
      <c r="C204" s="68" t="s">
        <v>1312</v>
      </c>
      <c r="D204" s="61"/>
      <c r="E204" s="61"/>
      <c r="F204" s="61"/>
      <c r="G204" s="64">
        <f>G203/G52-1</f>
        <v>-0.34863583483408112</v>
      </c>
      <c r="H204" s="112" t="s">
        <v>1530</v>
      </c>
      <c r="I204" s="1"/>
      <c r="J204" s="1"/>
      <c r="K204" s="1"/>
      <c r="L204" s="1"/>
      <c r="M204" s="59"/>
      <c r="N204" s="59"/>
    </row>
    <row r="205" spans="1:14" ht="30" customHeight="1">
      <c r="A205" s="59"/>
      <c r="B205" s="59"/>
      <c r="C205" s="68" t="s">
        <v>1531</v>
      </c>
      <c r="D205" s="61"/>
      <c r="E205" s="61"/>
      <c r="F205" s="61"/>
      <c r="G205" s="62">
        <f>-G183/G201</f>
        <v>-0.85872253121587361</v>
      </c>
      <c r="H205" s="112" t="s">
        <v>1532</v>
      </c>
      <c r="I205" s="1"/>
      <c r="J205" s="1"/>
      <c r="K205" s="1"/>
      <c r="L205" s="1"/>
      <c r="M205" s="59"/>
      <c r="N205" s="59"/>
    </row>
    <row r="206" spans="1:14" ht="30" customHeight="1">
      <c r="A206" s="59"/>
      <c r="B206" s="59"/>
      <c r="C206" s="68" t="s">
        <v>1533</v>
      </c>
      <c r="D206" s="61"/>
      <c r="E206" s="61"/>
      <c r="F206" s="61"/>
      <c r="G206" s="68">
        <f>G182-G179</f>
        <v>712.69999999999993</v>
      </c>
      <c r="H206" s="112" t="s">
        <v>1534</v>
      </c>
      <c r="I206" s="1"/>
      <c r="J206" s="1"/>
      <c r="K206" s="1"/>
      <c r="L206" s="1"/>
      <c r="M206" s="59"/>
      <c r="N206" s="59"/>
    </row>
    <row r="207" spans="1:14" ht="30" customHeight="1">
      <c r="A207" s="59"/>
      <c r="B207" s="59"/>
      <c r="C207" s="68" t="s">
        <v>1535</v>
      </c>
      <c r="D207" s="61"/>
      <c r="E207" s="61"/>
      <c r="F207" s="61"/>
      <c r="G207" s="78">
        <f>G49-G50</f>
        <v>219</v>
      </c>
      <c r="H207" s="112" t="s">
        <v>1536</v>
      </c>
      <c r="I207" s="1"/>
      <c r="J207" s="1"/>
      <c r="K207" s="1"/>
      <c r="L207" s="1"/>
      <c r="M207" s="59"/>
      <c r="N207" s="59"/>
    </row>
    <row r="208" spans="1:14" ht="22" customHeight="1">
      <c r="A208" s="59"/>
      <c r="B208" s="59"/>
      <c r="C208" s="61"/>
      <c r="D208" s="61"/>
      <c r="E208" s="61"/>
      <c r="F208" s="61"/>
      <c r="G208" s="61"/>
      <c r="H208" s="61"/>
      <c r="I208" s="61"/>
      <c r="J208" s="61"/>
      <c r="K208" s="61"/>
      <c r="L208" s="61"/>
      <c r="M208" s="59"/>
      <c r="N208" s="59"/>
    </row>
    <row r="209" spans="1:14" ht="22" customHeight="1">
      <c r="A209" s="59"/>
      <c r="B209" s="59"/>
      <c r="C209" s="61"/>
      <c r="D209" s="61"/>
      <c r="E209" s="61"/>
      <c r="F209" s="61"/>
      <c r="G209" s="61"/>
      <c r="H209" s="61"/>
      <c r="I209" s="61"/>
      <c r="J209" s="61"/>
      <c r="K209" s="61"/>
      <c r="L209" s="61"/>
      <c r="M209" s="59"/>
      <c r="N209" s="59"/>
    </row>
    <row r="210" spans="1:14" ht="25" customHeight="1">
      <c r="A210" s="59"/>
      <c r="B210" s="59"/>
      <c r="C210" s="75" t="s">
        <v>1537</v>
      </c>
      <c r="D210" s="60"/>
      <c r="E210" s="60"/>
      <c r="F210" s="60"/>
      <c r="G210" s="60"/>
      <c r="H210" s="60"/>
      <c r="I210" s="60"/>
      <c r="J210" s="60"/>
      <c r="K210" s="60"/>
      <c r="L210" s="60"/>
      <c r="M210" s="59"/>
      <c r="N210" s="59"/>
    </row>
    <row r="211" spans="1:14" ht="22" customHeight="1">
      <c r="A211" s="59"/>
      <c r="B211" s="59"/>
      <c r="C211" s="61"/>
      <c r="D211" s="61"/>
      <c r="E211" s="61"/>
      <c r="F211" s="61"/>
      <c r="G211" s="61"/>
      <c r="H211" s="61"/>
      <c r="I211" s="61"/>
      <c r="J211" s="61"/>
      <c r="K211" s="61"/>
      <c r="L211" s="61"/>
      <c r="M211" s="59"/>
      <c r="N211" s="59"/>
    </row>
    <row r="212" spans="1:14" ht="22" customHeight="1">
      <c r="A212" s="59"/>
      <c r="B212" s="59"/>
      <c r="C212" s="68" t="s">
        <v>1538</v>
      </c>
      <c r="D212" s="61"/>
      <c r="E212" s="61"/>
      <c r="F212" s="61"/>
      <c r="G212" s="68" t="s">
        <v>722</v>
      </c>
      <c r="H212" s="112" t="s">
        <v>1539</v>
      </c>
      <c r="I212" s="1"/>
      <c r="J212" s="1"/>
      <c r="K212" s="1"/>
      <c r="L212" s="1"/>
      <c r="M212" s="59"/>
      <c r="N212" s="59"/>
    </row>
    <row r="213" spans="1:14" ht="22" customHeight="1">
      <c r="A213" s="59"/>
      <c r="B213" s="59"/>
      <c r="C213" s="61"/>
      <c r="D213" s="61"/>
      <c r="E213" s="61"/>
      <c r="F213" s="61"/>
      <c r="G213" s="61"/>
      <c r="H213" s="61"/>
      <c r="I213" s="61"/>
      <c r="J213" s="61"/>
      <c r="K213" s="61"/>
      <c r="L213" s="61"/>
      <c r="M213" s="59"/>
      <c r="N213" s="59"/>
    </row>
    <row r="214" spans="1:14" ht="22" customHeight="1">
      <c r="A214" s="59"/>
      <c r="B214" s="59"/>
      <c r="C214" s="61"/>
      <c r="D214" s="61"/>
      <c r="E214" s="61"/>
      <c r="F214" s="61"/>
      <c r="G214" s="61"/>
      <c r="H214" s="61"/>
      <c r="I214" s="61"/>
      <c r="J214" s="61"/>
      <c r="K214" s="61"/>
      <c r="L214" s="61"/>
      <c r="M214" s="59"/>
      <c r="N214" s="59"/>
    </row>
    <row r="215" spans="1:14" ht="22" customHeight="1">
      <c r="A215" s="59"/>
      <c r="B215" s="59"/>
      <c r="C215" s="61"/>
      <c r="D215" s="61"/>
      <c r="E215" s="61"/>
      <c r="F215" s="61"/>
      <c r="G215" s="61"/>
      <c r="H215" s="61"/>
      <c r="I215" s="61"/>
      <c r="J215" s="61"/>
      <c r="K215" s="61"/>
      <c r="L215" s="61"/>
      <c r="M215" s="59"/>
      <c r="N215" s="59"/>
    </row>
    <row r="216" spans="1:14" ht="22" customHeight="1">
      <c r="A216" s="59"/>
      <c r="B216" s="59"/>
      <c r="C216" s="61"/>
      <c r="D216" s="61"/>
      <c r="E216" s="61"/>
      <c r="F216" s="61"/>
      <c r="G216" s="61"/>
      <c r="H216" s="61"/>
      <c r="I216" s="61"/>
      <c r="J216" s="61"/>
      <c r="K216" s="61"/>
      <c r="L216" s="61"/>
      <c r="M216" s="59"/>
      <c r="N216" s="59"/>
    </row>
    <row r="217" spans="1:14" ht="22" customHeight="1">
      <c r="A217" s="59"/>
      <c r="B217" s="59"/>
      <c r="C217" s="61"/>
      <c r="D217" s="61"/>
      <c r="E217" s="61"/>
      <c r="F217" s="61"/>
      <c r="G217" s="61"/>
      <c r="H217" s="61"/>
      <c r="I217" s="61"/>
      <c r="J217" s="61"/>
      <c r="K217" s="61"/>
      <c r="L217" s="61"/>
      <c r="M217" s="59"/>
      <c r="N217" s="59"/>
    </row>
    <row r="218" spans="1:14" ht="22" customHeight="1">
      <c r="A218" s="59"/>
      <c r="B218" s="59"/>
      <c r="C218" s="68" t="s">
        <v>1540</v>
      </c>
      <c r="D218" s="61"/>
      <c r="E218" s="61"/>
      <c r="F218" s="61"/>
      <c r="G218" s="61" t="str">
        <f>IF(G74&gt;G156,"PASS","FAIL")</f>
        <v>PASS</v>
      </c>
      <c r="H218" s="82">
        <f>G74-G156</f>
        <v>7.882144569669898E-2</v>
      </c>
      <c r="I218" s="61"/>
      <c r="J218" s="61"/>
      <c r="K218" s="61"/>
      <c r="L218" s="61"/>
      <c r="M218" s="59"/>
      <c r="N218" s="59"/>
    </row>
    <row r="219" spans="1:14" ht="22" customHeight="1">
      <c r="A219" s="59"/>
      <c r="B219" s="59"/>
      <c r="C219" s="68" t="s">
        <v>1541</v>
      </c>
      <c r="D219" s="61"/>
      <c r="E219" s="61"/>
      <c r="F219" s="61"/>
      <c r="G219" s="61" t="str">
        <f>IF(ABS(SUM(G71:G72)-1)&lt;0.000001,"PASS","FAIL")</f>
        <v>PASS</v>
      </c>
      <c r="H219" s="82">
        <f>SUM(G71:G72)-1</f>
        <v>0</v>
      </c>
      <c r="I219" s="61"/>
      <c r="J219" s="61"/>
      <c r="K219" s="61"/>
      <c r="L219" s="61"/>
      <c r="M219" s="59"/>
      <c r="N219" s="59"/>
    </row>
    <row r="220" spans="1:14" ht="22" customHeight="1">
      <c r="A220" s="59"/>
      <c r="B220" s="59"/>
      <c r="C220" s="68" t="s">
        <v>1542</v>
      </c>
      <c r="D220" s="61"/>
      <c r="E220" s="61"/>
      <c r="F220" s="61"/>
      <c r="G220" s="61" t="str">
        <f>IF(ABS(G74-G73)&lt;0.000001,"PASS","FAIL")</f>
        <v>PASS</v>
      </c>
      <c r="H220" s="82">
        <f>G74-G73</f>
        <v>0</v>
      </c>
      <c r="I220" s="61"/>
      <c r="J220" s="61"/>
      <c r="K220" s="61"/>
      <c r="L220" s="61"/>
      <c r="M220" s="59"/>
      <c r="N220" s="59"/>
    </row>
    <row r="221" spans="1:14" ht="22" customHeight="1">
      <c r="A221" s="59"/>
      <c r="B221" s="59"/>
      <c r="C221" s="68" t="s">
        <v>1543</v>
      </c>
      <c r="D221" s="61"/>
      <c r="E221" s="61"/>
      <c r="F221" s="61"/>
      <c r="G221" s="61" t="str">
        <f>IF(MAX(ABS(H119),ABS(I119),ABS(J119),ABS(K119),ABS(L119))&lt;0.000001,"PASS","FAIL")</f>
        <v>PASS</v>
      </c>
      <c r="H221" s="82">
        <f>MAX(ABS(H119),ABS(I119),ABS(J119),ABS(K119),ABS(L119))</f>
        <v>0</v>
      </c>
      <c r="I221" s="61"/>
      <c r="J221" s="61"/>
      <c r="K221" s="61"/>
      <c r="L221" s="61"/>
      <c r="M221" s="59"/>
      <c r="N221" s="59"/>
    </row>
    <row r="222" spans="1:14" ht="22" customHeight="1">
      <c r="A222" s="59"/>
      <c r="B222" s="59"/>
      <c r="C222" s="68" t="s">
        <v>1544</v>
      </c>
      <c r="D222" s="61"/>
      <c r="E222" s="61"/>
      <c r="F222" s="61"/>
      <c r="G222" s="61" t="str">
        <f>IF(AND(H110&gt;I110,I110&gt;J110,J110&gt;K110,K110&gt;L110,H110&lt;=1),"PASS","FAIL")</f>
        <v>PASS</v>
      </c>
      <c r="H222" s="82">
        <f>L110</f>
        <v>0.66142603711450354</v>
      </c>
      <c r="I222" s="61"/>
      <c r="J222" s="61"/>
      <c r="K222" s="61"/>
      <c r="L222" s="61"/>
      <c r="M222" s="59"/>
      <c r="N222" s="59"/>
    </row>
    <row r="223" spans="1:14" ht="22" customHeight="1">
      <c r="A223" s="59"/>
      <c r="B223" s="59"/>
      <c r="C223" s="68" t="s">
        <v>1545</v>
      </c>
      <c r="D223" s="61"/>
      <c r="E223" s="61"/>
      <c r="F223" s="61"/>
      <c r="G223" s="61" t="str">
        <f>IF(ABS(H223)&lt;0.000001,"PASS","FAIL")</f>
        <v>PASS</v>
      </c>
      <c r="H223" s="82">
        <f>G169-L140</f>
        <v>0</v>
      </c>
      <c r="I223" s="61"/>
      <c r="J223" s="61"/>
      <c r="K223" s="61"/>
      <c r="L223" s="61"/>
      <c r="M223" s="59"/>
      <c r="N223" s="59"/>
    </row>
    <row r="224" spans="1:14" ht="22" customHeight="1">
      <c r="A224" s="59"/>
      <c r="B224" s="59"/>
      <c r="C224" s="68" t="s">
        <v>1546</v>
      </c>
      <c r="D224" s="61"/>
      <c r="E224" s="61"/>
      <c r="F224" s="61"/>
      <c r="G224" s="61" t="str">
        <f>IF(ABS(G161-G163-G166+G164)&lt;0.000001,"PASS","FAIL")</f>
        <v>PASS</v>
      </c>
      <c r="H224" s="82">
        <f>G161-G163-G166+G164</f>
        <v>0</v>
      </c>
      <c r="I224" s="61"/>
      <c r="J224" s="61"/>
      <c r="K224" s="61"/>
      <c r="L224" s="61"/>
      <c r="M224" s="59"/>
      <c r="N224" s="59"/>
    </row>
    <row r="225" spans="1:14" ht="22" customHeight="1">
      <c r="A225" s="59"/>
      <c r="B225" s="59"/>
      <c r="C225" s="68" t="s">
        <v>1547</v>
      </c>
      <c r="D225" s="61"/>
      <c r="E225" s="61"/>
      <c r="F225" s="61"/>
      <c r="G225" s="61" t="str">
        <f>IF(ABS(G167-G159*(1-G156/G155))&lt;0.000001,"PASS","FAIL")</f>
        <v>PASS</v>
      </c>
      <c r="H225" s="82">
        <f>G167-G159*(1-G156/G155)</f>
        <v>0</v>
      </c>
      <c r="I225" s="61"/>
      <c r="J225" s="61"/>
      <c r="K225" s="61"/>
      <c r="L225" s="61"/>
      <c r="M225" s="59"/>
      <c r="N225" s="59"/>
    </row>
    <row r="226" spans="1:14" ht="22" customHeight="1">
      <c r="A226" s="59"/>
      <c r="B226" s="59"/>
      <c r="C226" s="68" t="s">
        <v>1548</v>
      </c>
      <c r="D226" s="61"/>
      <c r="E226" s="61"/>
      <c r="F226" s="61"/>
      <c r="G226" s="61" t="str">
        <f>IF(ABS(H226)&lt;0.000001,"PASS","FAIL")</f>
        <v>PASS</v>
      </c>
      <c r="H226" s="82">
        <f>G172-G170-G171-G143</f>
        <v>0</v>
      </c>
      <c r="I226" s="61"/>
      <c r="J226" s="61"/>
      <c r="K226" s="61"/>
      <c r="L226" s="61"/>
      <c r="M226" s="59"/>
      <c r="N226" s="59"/>
    </row>
    <row r="227" spans="1:14" ht="22" customHeight="1">
      <c r="A227" s="59"/>
      <c r="B227" s="59"/>
      <c r="C227" s="68" t="s">
        <v>1549</v>
      </c>
      <c r="D227" s="61"/>
      <c r="E227" s="61"/>
      <c r="F227" s="61"/>
      <c r="G227" s="61" t="str">
        <f>IF(ABS(G200-G178-G199)&lt;0.000001,"PASS","FAIL")</f>
        <v>PASS</v>
      </c>
      <c r="H227" s="82">
        <f>G200-G178-G199</f>
        <v>0</v>
      </c>
      <c r="I227" s="61"/>
      <c r="J227" s="61"/>
      <c r="K227" s="61"/>
      <c r="L227" s="61"/>
      <c r="M227" s="59"/>
      <c r="N227" s="59"/>
    </row>
    <row r="228" spans="1:14" ht="22" customHeight="1">
      <c r="A228" s="59"/>
      <c r="B228" s="59"/>
      <c r="C228" s="68" t="s">
        <v>1550</v>
      </c>
      <c r="D228" s="61"/>
      <c r="E228" s="61"/>
      <c r="F228" s="61"/>
      <c r="G228" s="61" t="str">
        <f>IF(ABS(G203*G201-G200)&lt;0.000001,"PASS","FAIL")</f>
        <v>PASS</v>
      </c>
      <c r="H228" s="82">
        <f>G203*G201-G200</f>
        <v>0</v>
      </c>
      <c r="I228" s="61"/>
      <c r="J228" s="61"/>
      <c r="K228" s="61"/>
      <c r="L228" s="61"/>
      <c r="M228" s="59"/>
      <c r="N228" s="59"/>
    </row>
    <row r="229" spans="1:14" ht="22" customHeight="1">
      <c r="A229" s="59"/>
      <c r="B229" s="59"/>
      <c r="C229" s="68" t="s">
        <v>1551</v>
      </c>
      <c r="D229" s="61"/>
      <c r="E229" s="61"/>
      <c r="F229" s="61"/>
      <c r="G229" s="61" t="str">
        <f>IF(ABS(J30-G203)&lt;0.000001,"PASS","FAIL")</f>
        <v>PASS</v>
      </c>
      <c r="H229" s="82">
        <f>J30-G203</f>
        <v>0</v>
      </c>
      <c r="I229" s="61"/>
      <c r="J229" s="61"/>
      <c r="K229" s="61"/>
      <c r="L229" s="61"/>
      <c r="M229" s="59"/>
      <c r="N229" s="59"/>
    </row>
    <row r="230" spans="1:14" ht="22" customHeight="1">
      <c r="A230" s="59"/>
      <c r="B230" s="59"/>
      <c r="C230" s="68" t="s">
        <v>1552</v>
      </c>
      <c r="D230" s="61"/>
      <c r="E230" s="61"/>
      <c r="F230" s="61"/>
      <c r="G230" s="61" t="str">
        <f>IF(AND(H26&gt;H27,H27&gt;H28,H28&gt;H29,H29&gt;H30,H30&gt;H31,H31&gt;H32,H32&gt;H33,H33&gt;H34),"PASS","FAIL")</f>
        <v>PASS</v>
      </c>
      <c r="H230" s="82">
        <f>H26-H34</f>
        <v>52.992235209014225</v>
      </c>
      <c r="I230" s="61"/>
      <c r="J230" s="61"/>
      <c r="K230" s="61"/>
      <c r="L230" s="61"/>
      <c r="M230" s="59"/>
      <c r="N230" s="59"/>
    </row>
    <row r="231" spans="1:14" ht="22" customHeight="1">
      <c r="A231" s="59"/>
      <c r="B231" s="59"/>
      <c r="C231" s="68" t="s">
        <v>1553</v>
      </c>
      <c r="D231" s="61"/>
      <c r="E231" s="61"/>
      <c r="F231" s="61"/>
      <c r="G231" s="61" t="str">
        <f>IF(AND(H30&lt;I30,I30&lt;J30,J30&lt;K30,K30&lt;L30),"PASS","FAIL")</f>
        <v>PASS</v>
      </c>
      <c r="H231" s="82">
        <f>L30-H30</f>
        <v>9.2393322897645191</v>
      </c>
      <c r="I231" s="61"/>
      <c r="J231" s="61"/>
      <c r="K231" s="61"/>
      <c r="L231" s="61"/>
      <c r="M231" s="59"/>
      <c r="N231" s="59"/>
    </row>
    <row r="232" spans="1:14" ht="22" customHeight="1">
      <c r="A232" s="59"/>
      <c r="B232" s="59"/>
      <c r="C232" s="68" t="s">
        <v>1554</v>
      </c>
      <c r="D232" s="61"/>
      <c r="E232" s="61"/>
      <c r="F232" s="61"/>
      <c r="G232" s="61" t="str">
        <f>IF(MIN(G26:G34)&gt;MAX(H25:L25),"PASS","FAIL")</f>
        <v>PASS</v>
      </c>
      <c r="H232" s="82">
        <f>MIN(G26:G34)-MAX(H25:L25)</f>
        <v>4.8821445696698981E-2</v>
      </c>
      <c r="I232" s="61"/>
      <c r="J232" s="61"/>
      <c r="K232" s="61"/>
      <c r="L232" s="61"/>
      <c r="M232" s="59"/>
      <c r="N232" s="59"/>
    </row>
    <row r="233" spans="1:14" ht="22" customHeight="1">
      <c r="A233" s="59"/>
      <c r="B233" s="59"/>
      <c r="C233" s="68" t="s">
        <v>1555</v>
      </c>
      <c r="D233" s="61"/>
      <c r="E233" s="61"/>
      <c r="F233" s="61"/>
      <c r="G233" s="61" t="str">
        <f>IF(G201&gt;0,"PASS","FAIL")</f>
        <v>PASS</v>
      </c>
      <c r="H233" s="82">
        <f>G201</f>
        <v>116.452051</v>
      </c>
      <c r="I233" s="61"/>
      <c r="J233" s="61"/>
      <c r="K233" s="61"/>
      <c r="L233" s="61"/>
      <c r="M233" s="59"/>
      <c r="N233" s="59"/>
    </row>
    <row r="234" spans="1:14" ht="22" customHeight="1">
      <c r="A234" s="59"/>
      <c r="B234" s="59"/>
      <c r="C234" s="68" t="s">
        <v>1556</v>
      </c>
      <c r="D234" s="61"/>
      <c r="E234" s="61"/>
      <c r="F234" s="61"/>
      <c r="G234" s="61" t="str">
        <f>IF(ABS((G182-G179)-(G182-G181-G180))&lt;0.000001,"PASS","FAIL")</f>
        <v>PASS</v>
      </c>
      <c r="H234" s="82">
        <f>(G182-G179)-(G182-G181-G180)</f>
        <v>0</v>
      </c>
      <c r="I234" s="61"/>
      <c r="J234" s="61"/>
      <c r="K234" s="61"/>
      <c r="L234" s="61"/>
      <c r="M234" s="59"/>
      <c r="N234" s="59"/>
    </row>
    <row r="235" spans="1:14" ht="22" customHeight="1">
      <c r="A235" s="59"/>
      <c r="B235" s="59"/>
      <c r="C235" s="68" t="s">
        <v>1557</v>
      </c>
      <c r="D235" s="61"/>
      <c r="E235" s="61"/>
      <c r="F235" s="61"/>
      <c r="G235" s="61" t="str">
        <f>IF(G196=0,"PASS","FAIL")</f>
        <v>PASS</v>
      </c>
      <c r="H235" s="82">
        <f>G196</f>
        <v>0</v>
      </c>
      <c r="I235" s="61"/>
      <c r="J235" s="61"/>
      <c r="K235" s="61"/>
      <c r="L235" s="61"/>
      <c r="M235" s="59"/>
      <c r="N235" s="59"/>
    </row>
    <row r="236" spans="1:14" ht="22" customHeight="1">
      <c r="A236" s="59"/>
      <c r="B236" s="59"/>
      <c r="C236" s="68" t="s">
        <v>1558</v>
      </c>
      <c r="D236" s="61"/>
      <c r="E236" s="61"/>
      <c r="F236" s="61"/>
      <c r="G236" s="61" t="str">
        <f>IF(G195=MAX(G193,G194),"PASS","FAIL")</f>
        <v>PASS</v>
      </c>
      <c r="H236" s="82">
        <f>G195</f>
        <v>118</v>
      </c>
      <c r="I236" s="61"/>
      <c r="J236" s="61"/>
      <c r="K236" s="61"/>
      <c r="L236" s="61"/>
      <c r="M236" s="59"/>
      <c r="N236" s="59"/>
    </row>
    <row r="237" spans="1:14" ht="22" customHeight="1">
      <c r="A237" s="59"/>
      <c r="B237" s="59"/>
      <c r="C237" s="68" t="s">
        <v>1559</v>
      </c>
      <c r="D237" s="61"/>
      <c r="E237" s="61"/>
      <c r="F237" s="61"/>
      <c r="G237" s="61" t="str">
        <f>IF(AND(G156&lt;G155,G165&gt;=0),"PASS","FAIL")</f>
        <v>PASS</v>
      </c>
      <c r="H237" s="82">
        <f>G155-G156</f>
        <v>0.18000000000000002</v>
      </c>
      <c r="I237" s="61"/>
      <c r="J237" s="61"/>
      <c r="K237" s="61"/>
      <c r="L237" s="61"/>
      <c r="M237" s="59"/>
      <c r="N237" s="59"/>
    </row>
    <row r="238" spans="1:14" ht="22" customHeight="1">
      <c r="A238" s="59"/>
      <c r="B238" s="59"/>
      <c r="C238" s="68" t="s">
        <v>1560</v>
      </c>
      <c r="D238" s="61"/>
      <c r="E238" s="61"/>
      <c r="F238" s="61"/>
      <c r="G238" s="61" t="str">
        <f>IF(AND(H86&gt;0,H86&lt;=1),"PASS","FAIL")</f>
        <v>PASS</v>
      </c>
      <c r="H238" s="82">
        <f>H86</f>
        <v>0.39835164835164832</v>
      </c>
      <c r="I238" s="61"/>
      <c r="J238" s="61"/>
      <c r="K238" s="61"/>
      <c r="L238" s="61"/>
      <c r="M238" s="59"/>
      <c r="N238" s="59"/>
    </row>
    <row r="239" spans="1:14" ht="22" customHeight="1">
      <c r="A239" s="59"/>
      <c r="B239" s="59"/>
      <c r="C239" s="68" t="s">
        <v>1561</v>
      </c>
      <c r="D239" s="61"/>
      <c r="E239" s="61"/>
      <c r="F239" s="61"/>
      <c r="G239" s="61" t="str">
        <f>IF(MAX(ABS('02 Model'!H91),ABS('02 Model'!I91),ABS('02 Model'!J91),ABS('02 Model'!K91),ABS('02 Model'!L91))&lt;0.1,"PASS","FAIL")</f>
        <v>PASS</v>
      </c>
      <c r="H239" s="94">
        <f>MAX(ABS('02 Model'!H91),ABS('02 Model'!I91),ABS('02 Model'!J91),ABS('02 Model'!K91),ABS('02 Model'!L91))</f>
        <v>0</v>
      </c>
      <c r="I239" s="61"/>
      <c r="J239" s="61"/>
      <c r="K239" s="61"/>
      <c r="L239" s="61"/>
      <c r="M239" s="59"/>
      <c r="N239" s="59"/>
    </row>
    <row r="240" spans="1:14" ht="22" customHeight="1">
      <c r="A240" s="59"/>
      <c r="B240" s="59"/>
      <c r="C240" s="68" t="s">
        <v>1562</v>
      </c>
      <c r="D240" s="61"/>
      <c r="E240" s="61"/>
      <c r="F240" s="61"/>
      <c r="G240" s="61" t="str">
        <f>IF(AND(G68&gt;=0,G68&lt;1,G74&gt;0,G156&gt;=0),"PASS","FAIL")</f>
        <v>PASS</v>
      </c>
      <c r="H240" s="82">
        <f>G68</f>
        <v>0.25</v>
      </c>
      <c r="I240" s="61"/>
      <c r="J240" s="61"/>
      <c r="K240" s="61"/>
      <c r="L240" s="61"/>
      <c r="M240" s="59"/>
      <c r="N240" s="59"/>
    </row>
    <row r="241" spans="1:14" ht="22" customHeight="1">
      <c r="A241" s="59"/>
      <c r="B241" s="59"/>
      <c r="C241" s="68" t="s">
        <v>1563</v>
      </c>
      <c r="D241" s="61"/>
      <c r="E241" s="61"/>
      <c r="F241" s="61"/>
      <c r="G241" s="61" t="str">
        <f>IF(ABS(G52*G78-G51)&lt;0.000001,"PASS","FAIL")</f>
        <v>PASS</v>
      </c>
      <c r="H241" s="82">
        <f>G52*G78-G51</f>
        <v>0</v>
      </c>
      <c r="I241" s="61"/>
      <c r="J241" s="61"/>
      <c r="K241" s="61"/>
      <c r="L241" s="61"/>
      <c r="M241" s="59"/>
      <c r="N241" s="59"/>
    </row>
    <row r="242" spans="1:14" ht="22" customHeight="1">
      <c r="A242" s="59"/>
      <c r="B242" s="59"/>
      <c r="C242" s="61"/>
      <c r="D242" s="61"/>
      <c r="E242" s="61"/>
      <c r="F242" s="61"/>
      <c r="G242" s="61"/>
      <c r="H242" s="61"/>
      <c r="I242" s="61"/>
      <c r="J242" s="61"/>
      <c r="K242" s="61"/>
      <c r="L242" s="61"/>
      <c r="M242" s="59"/>
      <c r="N242" s="59"/>
    </row>
    <row r="243" spans="1:14" ht="30" customHeight="1">
      <c r="A243" s="59"/>
      <c r="B243" s="59"/>
      <c r="C243" s="68" t="s">
        <v>1564</v>
      </c>
      <c r="D243" s="61"/>
      <c r="E243" s="61"/>
      <c r="F243" s="61"/>
      <c r="G243" s="61" t="str">
        <f>IF(G173&gt;G174,"REVIEW","WITHIN LIMIT")</f>
        <v>WITHIN LIMIT</v>
      </c>
      <c r="H243" s="112" t="s">
        <v>1565</v>
      </c>
      <c r="I243" s="1"/>
      <c r="J243" s="1"/>
      <c r="K243" s="1"/>
      <c r="L243" s="1"/>
      <c r="M243" s="59"/>
      <c r="N243" s="59"/>
    </row>
    <row r="244" spans="1:14" ht="30" customHeight="1">
      <c r="A244" s="59"/>
      <c r="B244" s="59"/>
      <c r="C244" s="68" t="s">
        <v>1566</v>
      </c>
      <c r="D244" s="61"/>
      <c r="E244" s="61"/>
      <c r="F244" s="61"/>
      <c r="G244" s="61" t="str">
        <f>IF(G207&gt;90,"STALE PROXY","RECENT")</f>
        <v>STALE PROXY</v>
      </c>
      <c r="H244" s="112" t="s">
        <v>1567</v>
      </c>
      <c r="I244" s="1"/>
      <c r="J244" s="1"/>
      <c r="K244" s="1"/>
      <c r="L244" s="1"/>
      <c r="M244" s="59"/>
      <c r="N244" s="59"/>
    </row>
    <row r="245" spans="1:14" ht="42" customHeight="1">
      <c r="A245" s="59"/>
      <c r="B245" s="59"/>
      <c r="C245" s="61"/>
      <c r="D245" s="61"/>
      <c r="E245" s="61"/>
      <c r="F245" s="61"/>
      <c r="G245" s="61"/>
      <c r="H245" s="61"/>
      <c r="I245" s="61"/>
      <c r="J245" s="61"/>
      <c r="K245" s="61"/>
      <c r="L245" s="61"/>
      <c r="M245" s="59"/>
      <c r="N245" s="59"/>
    </row>
    <row r="246" spans="1:14" ht="32" customHeight="1">
      <c r="A246" s="59"/>
      <c r="B246" s="59"/>
      <c r="C246" s="61"/>
      <c r="D246" s="61"/>
      <c r="E246" s="61"/>
      <c r="F246" s="61"/>
      <c r="G246" s="61"/>
      <c r="H246" s="61"/>
      <c r="I246" s="61"/>
      <c r="J246" s="61"/>
      <c r="K246" s="61"/>
      <c r="L246" s="61"/>
      <c r="M246" s="59"/>
      <c r="N246" s="59"/>
    </row>
    <row r="247" spans="1:14" ht="22" customHeight="1">
      <c r="A247" s="59"/>
      <c r="B247" s="59"/>
      <c r="C247" s="61"/>
      <c r="D247" s="61"/>
      <c r="E247" s="61"/>
      <c r="F247" s="61"/>
      <c r="G247" s="61"/>
      <c r="H247" s="61"/>
      <c r="I247" s="61"/>
      <c r="J247" s="61"/>
      <c r="K247" s="61"/>
      <c r="L247" s="61"/>
      <c r="M247" s="59"/>
      <c r="N247" s="59"/>
    </row>
    <row r="248" spans="1:14" ht="23" customHeight="1">
      <c r="A248" s="59"/>
      <c r="B248" s="59"/>
      <c r="C248" s="61" t="s">
        <v>1568</v>
      </c>
      <c r="D248" s="61"/>
      <c r="E248" s="61"/>
      <c r="F248" s="61"/>
      <c r="G248" s="61" t="str">
        <f t="shared" ref="G248:G257" si="1">IF(ABS(H248)&lt;0.000001,"PASS","FAIL")</f>
        <v>PASS</v>
      </c>
      <c r="H248" s="74">
        <f>H139-L87-1</f>
        <v>0</v>
      </c>
      <c r="I248" s="61"/>
      <c r="J248" s="61"/>
      <c r="K248" s="61"/>
      <c r="L248" s="61"/>
      <c r="M248" s="59"/>
      <c r="N248" s="59"/>
    </row>
    <row r="249" spans="1:14" ht="23" customHeight="1">
      <c r="A249" s="59"/>
      <c r="B249" s="59"/>
      <c r="C249" s="61" t="s">
        <v>1569</v>
      </c>
      <c r="D249" s="61"/>
      <c r="E249" s="61"/>
      <c r="F249" s="61"/>
      <c r="G249" s="61" t="str">
        <f t="shared" si="1"/>
        <v>PASS</v>
      </c>
      <c r="H249" s="74">
        <f>L139-L87-5</f>
        <v>0</v>
      </c>
      <c r="I249" s="61"/>
      <c r="J249" s="61"/>
      <c r="K249" s="61"/>
      <c r="L249" s="61"/>
      <c r="M249" s="59"/>
      <c r="N249" s="59"/>
    </row>
    <row r="250" spans="1:14" ht="23" customHeight="1">
      <c r="A250" s="59"/>
      <c r="B250" s="59"/>
      <c r="C250" s="61" t="s">
        <v>1570</v>
      </c>
      <c r="D250" s="61"/>
      <c r="E250" s="61"/>
      <c r="F250" s="61"/>
      <c r="G250" s="61" t="str">
        <f t="shared" si="1"/>
        <v>PASS</v>
      </c>
      <c r="H250" s="74">
        <f>MAX(ABS(H138-H134+H137),ABS(I138-I134+I137),ABS(J138-J134+J137),ABS(K138-K134+K137),ABS(L138-L134+L137))</f>
        <v>8.5265128291212022E-14</v>
      </c>
      <c r="I250" s="61"/>
      <c r="J250" s="61"/>
      <c r="K250" s="61"/>
      <c r="L250" s="61"/>
      <c r="M250" s="59"/>
      <c r="N250" s="59"/>
    </row>
    <row r="251" spans="1:14" ht="23" customHeight="1">
      <c r="A251" s="59"/>
      <c r="B251" s="59"/>
      <c r="C251" s="61" t="s">
        <v>1571</v>
      </c>
      <c r="D251" s="61"/>
      <c r="E251" s="61"/>
      <c r="F251" s="61"/>
      <c r="G251" s="61" t="str">
        <f t="shared" si="1"/>
        <v>PASS</v>
      </c>
      <c r="H251" s="74">
        <f>G159-L134*(1+G156)</f>
        <v>0</v>
      </c>
      <c r="I251" s="61"/>
      <c r="J251" s="61"/>
      <c r="K251" s="61"/>
      <c r="L251" s="61"/>
      <c r="M251" s="59"/>
      <c r="N251" s="59"/>
    </row>
    <row r="252" spans="1:14" ht="23" customHeight="1">
      <c r="A252" s="59"/>
      <c r="B252" s="59"/>
      <c r="C252" s="61" t="s">
        <v>1572</v>
      </c>
      <c r="D252" s="61"/>
      <c r="E252" s="61"/>
      <c r="F252" s="61"/>
      <c r="G252" s="61" t="str">
        <f t="shared" si="1"/>
        <v>PASS</v>
      </c>
      <c r="H252" s="74">
        <f>I41-G203</f>
        <v>0</v>
      </c>
      <c r="I252" s="61"/>
      <c r="J252" s="61"/>
      <c r="K252" s="61"/>
      <c r="L252" s="61"/>
      <c r="M252" s="59"/>
      <c r="N252" s="59"/>
    </row>
    <row r="253" spans="1:14" ht="23" customHeight="1">
      <c r="A253" s="59"/>
      <c r="B253" s="59"/>
      <c r="C253" s="61" t="s">
        <v>1573</v>
      </c>
      <c r="D253" s="61"/>
      <c r="E253" s="61"/>
      <c r="F253" s="61"/>
      <c r="G253" s="61" t="str">
        <f t="shared" si="1"/>
        <v>PASS</v>
      </c>
      <c r="H253" s="74">
        <f>G70-G354-G356-G357-SUM(L361:L367)</f>
        <v>0</v>
      </c>
      <c r="I253" s="61"/>
      <c r="J253" s="61"/>
      <c r="K253" s="61"/>
      <c r="L253" s="61"/>
      <c r="M253" s="59"/>
      <c r="N253" s="59"/>
    </row>
    <row r="254" spans="1:14" ht="23" customHeight="1">
      <c r="A254" s="59"/>
      <c r="B254" s="59"/>
      <c r="C254" s="61" t="s">
        <v>1574</v>
      </c>
      <c r="D254" s="61"/>
      <c r="E254" s="61"/>
      <c r="F254" s="61"/>
      <c r="G254" s="61" t="str">
        <f t="shared" si="1"/>
        <v>PASS</v>
      </c>
      <c r="H254" s="74">
        <f>G182+SUM('02 Model'!G57:G58,'02 Model'!G66)</f>
        <v>0</v>
      </c>
      <c r="I254" s="61"/>
      <c r="J254" s="61"/>
      <c r="K254" s="61"/>
      <c r="L254" s="61"/>
      <c r="M254" s="59"/>
      <c r="N254" s="59"/>
    </row>
    <row r="255" spans="1:14" ht="23" customHeight="1">
      <c r="A255" s="59"/>
      <c r="B255" s="59"/>
      <c r="C255" s="61" t="s">
        <v>1575</v>
      </c>
      <c r="D255" s="61"/>
      <c r="E255" s="61"/>
      <c r="F255" s="61"/>
      <c r="G255" s="61" t="str">
        <f t="shared" si="1"/>
        <v>PASS</v>
      </c>
      <c r="H255" s="74">
        <f>G161-G163-G166+G164</f>
        <v>0</v>
      </c>
      <c r="I255" s="61"/>
      <c r="J255" s="61"/>
      <c r="K255" s="61"/>
      <c r="L255" s="61"/>
      <c r="M255" s="59"/>
      <c r="N255" s="59"/>
    </row>
    <row r="256" spans="1:14" ht="23" customHeight="1">
      <c r="A256" s="59"/>
      <c r="B256" s="59"/>
      <c r="C256" s="61" t="s">
        <v>1576</v>
      </c>
      <c r="D256" s="61"/>
      <c r="E256" s="61"/>
      <c r="F256" s="61"/>
      <c r="G256" s="61" t="str">
        <f t="shared" si="1"/>
        <v>PASS</v>
      </c>
      <c r="H256" s="74">
        <f>IF(AND(L110&gt;H140,H140&gt;I140,I140&gt;J140,J140&gt;K140,K140&gt;L140),0,1)</f>
        <v>0</v>
      </c>
      <c r="I256" s="61"/>
      <c r="J256" s="61"/>
      <c r="K256" s="61"/>
      <c r="L256" s="61"/>
      <c r="M256" s="59"/>
      <c r="N256" s="59"/>
    </row>
    <row r="257" spans="1:14" ht="23" customHeight="1">
      <c r="A257" s="59"/>
      <c r="B257" s="59"/>
      <c r="C257" s="61" t="s">
        <v>1577</v>
      </c>
      <c r="D257" s="61"/>
      <c r="E257" s="61"/>
      <c r="F257" s="61"/>
      <c r="G257" s="61" t="str">
        <f t="shared" si="1"/>
        <v>PASS</v>
      </c>
      <c r="H257" s="74">
        <f>IF(AND(H41&lt;I41,I41&lt;J41),0,1)</f>
        <v>0</v>
      </c>
      <c r="I257" s="61"/>
      <c r="J257" s="61"/>
      <c r="K257" s="61"/>
      <c r="L257" s="61"/>
      <c r="M257" s="59"/>
      <c r="N257" s="59"/>
    </row>
    <row r="258" spans="1:14" ht="22" customHeight="1">
      <c r="A258" s="59"/>
      <c r="B258" s="59"/>
      <c r="C258" s="61"/>
      <c r="D258" s="61"/>
      <c r="E258" s="61"/>
      <c r="F258" s="61"/>
      <c r="G258" s="61"/>
      <c r="H258" s="61"/>
      <c r="I258" s="61"/>
      <c r="J258" s="61"/>
      <c r="K258" s="61"/>
      <c r="L258" s="61"/>
      <c r="M258" s="59"/>
      <c r="N258" s="59"/>
    </row>
    <row r="259" spans="1:14" ht="22" customHeight="1">
      <c r="A259" s="59"/>
      <c r="B259" s="59"/>
      <c r="C259" s="61"/>
      <c r="D259" s="61"/>
      <c r="E259" s="61"/>
      <c r="F259" s="61"/>
      <c r="G259" s="61"/>
      <c r="H259" s="61"/>
      <c r="I259" s="61"/>
      <c r="J259" s="61"/>
      <c r="K259" s="61"/>
      <c r="L259" s="61"/>
      <c r="M259" s="59"/>
      <c r="N259" s="59"/>
    </row>
    <row r="260" spans="1:14" ht="25" customHeight="1">
      <c r="A260" s="59"/>
      <c r="B260" s="59"/>
      <c r="C260" s="75" t="s">
        <v>1578</v>
      </c>
      <c r="D260" s="60"/>
      <c r="E260" s="60"/>
      <c r="F260" s="60"/>
      <c r="G260" s="60"/>
      <c r="H260" s="60"/>
      <c r="I260" s="60"/>
      <c r="J260" s="60"/>
      <c r="K260" s="60"/>
      <c r="L260" s="60"/>
      <c r="M260" s="59"/>
      <c r="N260" s="59"/>
    </row>
    <row r="261" spans="1:14" ht="22" customHeight="1">
      <c r="A261" s="59"/>
      <c r="B261" s="59"/>
      <c r="C261" s="61"/>
      <c r="D261" s="61"/>
      <c r="E261" s="61"/>
      <c r="F261" s="61"/>
      <c r="G261" s="61"/>
      <c r="H261" s="61"/>
      <c r="I261" s="61"/>
      <c r="J261" s="61"/>
      <c r="K261" s="61"/>
      <c r="L261" s="61"/>
      <c r="M261" s="59"/>
      <c r="N261" s="59"/>
    </row>
    <row r="262" spans="1:14" ht="22" customHeight="1">
      <c r="A262" s="59"/>
      <c r="B262" s="59"/>
      <c r="C262" s="112" t="s">
        <v>1579</v>
      </c>
      <c r="D262" s="1"/>
      <c r="E262" s="1"/>
      <c r="F262" s="1"/>
      <c r="G262" s="1"/>
      <c r="H262" s="1"/>
      <c r="I262" s="1"/>
      <c r="J262" s="1"/>
      <c r="K262" s="1"/>
      <c r="L262" s="1"/>
      <c r="M262" s="59"/>
      <c r="N262" s="59"/>
    </row>
    <row r="263" spans="1:14" ht="42" customHeight="1">
      <c r="A263" s="59"/>
      <c r="B263" s="59"/>
      <c r="C263" s="112" t="s">
        <v>1580</v>
      </c>
      <c r="D263" s="1"/>
      <c r="E263" s="1"/>
      <c r="F263" s="1"/>
      <c r="G263" s="1"/>
      <c r="H263" s="1"/>
      <c r="I263" s="1"/>
      <c r="J263" s="1"/>
      <c r="K263" s="1"/>
      <c r="L263" s="1"/>
      <c r="M263" s="59"/>
      <c r="N263" s="59"/>
    </row>
    <row r="264" spans="1:14" ht="32" customHeight="1">
      <c r="A264" s="59"/>
      <c r="B264" s="59"/>
      <c r="C264" s="68" t="s">
        <v>1581</v>
      </c>
      <c r="D264" s="61"/>
      <c r="E264" s="61"/>
      <c r="F264" s="61"/>
      <c r="G264" s="61"/>
      <c r="H264" s="61"/>
      <c r="I264" s="61"/>
      <c r="J264" s="61"/>
      <c r="K264" s="61"/>
      <c r="L264" s="61"/>
      <c r="M264" s="59"/>
      <c r="N264" s="59"/>
    </row>
    <row r="265" spans="1:14" ht="22" customHeight="1">
      <c r="A265" s="59"/>
      <c r="B265" s="59"/>
      <c r="C265" s="61"/>
      <c r="D265" s="61"/>
      <c r="E265" s="61"/>
      <c r="F265" s="61"/>
      <c r="G265" s="61"/>
      <c r="H265" s="61"/>
      <c r="I265" s="61"/>
      <c r="J265" s="61"/>
      <c r="K265" s="61"/>
      <c r="L265" s="61"/>
      <c r="M265" s="59"/>
      <c r="N265" s="59"/>
    </row>
    <row r="266" spans="1:14" ht="22" customHeight="1">
      <c r="A266" s="59"/>
      <c r="B266" s="59"/>
      <c r="C266" s="112" t="s">
        <v>1582</v>
      </c>
      <c r="D266" s="1"/>
      <c r="E266" s="1"/>
      <c r="F266" s="1"/>
      <c r="G266" s="1"/>
      <c r="H266" s="1"/>
      <c r="I266" s="1"/>
      <c r="J266" s="1"/>
      <c r="K266" s="1"/>
      <c r="L266" s="1"/>
      <c r="M266" s="59"/>
      <c r="N266" s="59"/>
    </row>
    <row r="267" spans="1:14" ht="42" customHeight="1">
      <c r="A267" s="59"/>
      <c r="B267" s="59"/>
      <c r="C267" s="112" t="s">
        <v>1583</v>
      </c>
      <c r="D267" s="1"/>
      <c r="E267" s="1"/>
      <c r="F267" s="1"/>
      <c r="G267" s="1"/>
      <c r="H267" s="1"/>
      <c r="I267" s="1"/>
      <c r="J267" s="1"/>
      <c r="K267" s="1"/>
      <c r="L267" s="1"/>
      <c r="M267" s="59"/>
      <c r="N267" s="59"/>
    </row>
    <row r="268" spans="1:14" ht="32" customHeight="1">
      <c r="A268" s="59"/>
      <c r="B268" s="59"/>
      <c r="C268" s="68" t="s">
        <v>1584</v>
      </c>
      <c r="D268" s="61"/>
      <c r="E268" s="61"/>
      <c r="F268" s="61"/>
      <c r="G268" s="61"/>
      <c r="H268" s="61"/>
      <c r="I268" s="61"/>
      <c r="J268" s="61"/>
      <c r="K268" s="61"/>
      <c r="L268" s="61"/>
      <c r="M268" s="59"/>
      <c r="N268" s="59"/>
    </row>
    <row r="269" spans="1:14" ht="22" customHeight="1">
      <c r="A269" s="59"/>
      <c r="B269" s="59"/>
      <c r="C269" s="61"/>
      <c r="D269" s="61"/>
      <c r="E269" s="61"/>
      <c r="F269" s="61"/>
      <c r="G269" s="61"/>
      <c r="H269" s="61"/>
      <c r="I269" s="61"/>
      <c r="J269" s="61"/>
      <c r="K269" s="61"/>
      <c r="L269" s="61"/>
      <c r="M269" s="59"/>
      <c r="N269" s="59"/>
    </row>
    <row r="270" spans="1:14" ht="22" customHeight="1">
      <c r="A270" s="59"/>
      <c r="B270" s="59"/>
      <c r="C270" s="112" t="s">
        <v>1585</v>
      </c>
      <c r="D270" s="1"/>
      <c r="E270" s="1"/>
      <c r="F270" s="1"/>
      <c r="G270" s="1"/>
      <c r="H270" s="1"/>
      <c r="I270" s="1"/>
      <c r="J270" s="1"/>
      <c r="K270" s="1"/>
      <c r="L270" s="1"/>
      <c r="M270" s="59"/>
      <c r="N270" s="59"/>
    </row>
    <row r="271" spans="1:14" ht="22" customHeight="1">
      <c r="A271" s="59"/>
      <c r="B271" s="59"/>
      <c r="C271" s="112" t="s">
        <v>1586</v>
      </c>
      <c r="D271" s="1"/>
      <c r="E271" s="1"/>
      <c r="F271" s="1"/>
      <c r="G271" s="1"/>
      <c r="H271" s="1"/>
      <c r="I271" s="1"/>
      <c r="J271" s="1"/>
      <c r="K271" s="1"/>
      <c r="L271" s="1"/>
      <c r="M271" s="59"/>
      <c r="N271" s="59"/>
    </row>
    <row r="272" spans="1:14" ht="22" customHeight="1">
      <c r="A272" s="59"/>
      <c r="B272" s="59"/>
      <c r="C272" s="68" t="s">
        <v>1587</v>
      </c>
      <c r="D272" s="61"/>
      <c r="E272" s="61"/>
      <c r="F272" s="61"/>
      <c r="G272" s="61"/>
      <c r="H272" s="61"/>
      <c r="I272" s="61"/>
      <c r="J272" s="61"/>
      <c r="K272" s="61"/>
      <c r="L272" s="61"/>
      <c r="M272" s="59"/>
      <c r="N272" s="59"/>
    </row>
    <row r="273" spans="1:14" ht="22" customHeight="1">
      <c r="A273" s="59"/>
      <c r="B273" s="59"/>
      <c r="C273" s="61"/>
      <c r="D273" s="61"/>
      <c r="E273" s="61"/>
      <c r="F273" s="61"/>
      <c r="G273" s="61"/>
      <c r="H273" s="61"/>
      <c r="I273" s="61"/>
      <c r="J273" s="61"/>
      <c r="K273" s="61"/>
      <c r="L273" s="61"/>
      <c r="M273" s="59"/>
      <c r="N273" s="59"/>
    </row>
    <row r="274" spans="1:14" ht="22" customHeight="1">
      <c r="A274" s="59"/>
      <c r="B274" s="59"/>
      <c r="C274" s="112" t="s">
        <v>1588</v>
      </c>
      <c r="D274" s="1"/>
      <c r="E274" s="1"/>
      <c r="F274" s="1"/>
      <c r="G274" s="1"/>
      <c r="H274" s="1"/>
      <c r="I274" s="1"/>
      <c r="J274" s="1"/>
      <c r="K274" s="1"/>
      <c r="L274" s="1"/>
      <c r="M274" s="59"/>
      <c r="N274" s="59"/>
    </row>
    <row r="275" spans="1:14" ht="22" customHeight="1">
      <c r="A275" s="59"/>
      <c r="B275" s="59"/>
      <c r="C275" s="112" t="s">
        <v>1589</v>
      </c>
      <c r="D275" s="1"/>
      <c r="E275" s="1"/>
      <c r="F275" s="1"/>
      <c r="G275" s="1"/>
      <c r="H275" s="1"/>
      <c r="I275" s="1"/>
      <c r="J275" s="1"/>
      <c r="K275" s="1"/>
      <c r="L275" s="1"/>
      <c r="M275" s="59"/>
      <c r="N275" s="59"/>
    </row>
    <row r="276" spans="1:14" ht="22" customHeight="1">
      <c r="A276" s="59"/>
      <c r="B276" s="59"/>
      <c r="C276" s="68" t="s">
        <v>1590</v>
      </c>
      <c r="D276" s="61"/>
      <c r="E276" s="61"/>
      <c r="F276" s="61"/>
      <c r="G276" s="61"/>
      <c r="H276" s="61"/>
      <c r="I276" s="61"/>
      <c r="J276" s="61"/>
      <c r="K276" s="61"/>
      <c r="L276" s="61"/>
      <c r="M276" s="59"/>
      <c r="N276" s="59"/>
    </row>
    <row r="277" spans="1:14" ht="22" customHeight="1">
      <c r="A277" s="59"/>
      <c r="B277" s="59"/>
      <c r="C277" s="61"/>
      <c r="D277" s="61"/>
      <c r="E277" s="61"/>
      <c r="F277" s="61"/>
      <c r="G277" s="61"/>
      <c r="H277" s="61"/>
      <c r="I277" s="61"/>
      <c r="J277" s="61"/>
      <c r="K277" s="61"/>
      <c r="L277" s="61"/>
      <c r="M277" s="59"/>
      <c r="N277" s="59"/>
    </row>
    <row r="278" spans="1:14" ht="22" customHeight="1">
      <c r="A278" s="59"/>
      <c r="B278" s="59"/>
      <c r="C278" s="112" t="s">
        <v>1591</v>
      </c>
      <c r="D278" s="1"/>
      <c r="E278" s="1"/>
      <c r="F278" s="1"/>
      <c r="G278" s="1"/>
      <c r="H278" s="1"/>
      <c r="I278" s="1"/>
      <c r="J278" s="1"/>
      <c r="K278" s="1"/>
      <c r="L278" s="1"/>
      <c r="M278" s="59"/>
      <c r="N278" s="59"/>
    </row>
    <row r="279" spans="1:14" ht="22" customHeight="1">
      <c r="A279" s="59"/>
      <c r="B279" s="59"/>
      <c r="C279" s="112" t="s">
        <v>1592</v>
      </c>
      <c r="D279" s="1"/>
      <c r="E279" s="1"/>
      <c r="F279" s="1"/>
      <c r="G279" s="1"/>
      <c r="H279" s="1"/>
      <c r="I279" s="1"/>
      <c r="J279" s="1"/>
      <c r="K279" s="1"/>
      <c r="L279" s="1"/>
      <c r="M279" s="59"/>
      <c r="N279" s="59"/>
    </row>
    <row r="280" spans="1:14" ht="22" customHeight="1">
      <c r="A280" s="59"/>
      <c r="B280" s="59"/>
      <c r="C280" s="68" t="s">
        <v>1593</v>
      </c>
      <c r="D280" s="61"/>
      <c r="E280" s="61"/>
      <c r="F280" s="61"/>
      <c r="G280" s="61"/>
      <c r="H280" s="61"/>
      <c r="I280" s="61"/>
      <c r="J280" s="61"/>
      <c r="K280" s="61"/>
      <c r="L280" s="61"/>
      <c r="M280" s="59"/>
      <c r="N280" s="59"/>
    </row>
    <row r="281" spans="1:14" ht="22" customHeight="1">
      <c r="A281" s="59"/>
      <c r="B281" s="59"/>
      <c r="C281" s="61"/>
      <c r="D281" s="61"/>
      <c r="E281" s="61"/>
      <c r="F281" s="61"/>
      <c r="G281" s="61"/>
      <c r="H281" s="61"/>
      <c r="I281" s="61"/>
      <c r="J281" s="61"/>
      <c r="K281" s="61"/>
      <c r="L281" s="61"/>
      <c r="M281" s="59"/>
      <c r="N281" s="59"/>
    </row>
    <row r="282" spans="1:14" ht="22" customHeight="1">
      <c r="A282" s="59"/>
      <c r="B282" s="59"/>
      <c r="C282" s="112" t="s">
        <v>1594</v>
      </c>
      <c r="D282" s="1"/>
      <c r="E282" s="1"/>
      <c r="F282" s="1"/>
      <c r="G282" s="1"/>
      <c r="H282" s="1"/>
      <c r="I282" s="1"/>
      <c r="J282" s="1"/>
      <c r="K282" s="1"/>
      <c r="L282" s="1"/>
      <c r="M282" s="59"/>
      <c r="N282" s="59"/>
    </row>
    <row r="283" spans="1:14" ht="22" customHeight="1">
      <c r="A283" s="59"/>
      <c r="B283" s="59"/>
      <c r="C283" s="112" t="s">
        <v>1595</v>
      </c>
      <c r="D283" s="1"/>
      <c r="E283" s="1"/>
      <c r="F283" s="1"/>
      <c r="G283" s="1"/>
      <c r="H283" s="1"/>
      <c r="I283" s="1"/>
      <c r="J283" s="1"/>
      <c r="K283" s="1"/>
      <c r="L283" s="1"/>
      <c r="M283" s="59"/>
      <c r="N283" s="59"/>
    </row>
    <row r="284" spans="1:14" ht="22" customHeight="1">
      <c r="A284" s="59"/>
      <c r="B284" s="59"/>
      <c r="C284" s="68" t="s">
        <v>1596</v>
      </c>
      <c r="D284" s="61"/>
      <c r="E284" s="61"/>
      <c r="F284" s="61"/>
      <c r="G284" s="61"/>
      <c r="H284" s="61"/>
      <c r="I284" s="61"/>
      <c r="J284" s="61"/>
      <c r="K284" s="61"/>
      <c r="L284" s="61"/>
      <c r="M284" s="59"/>
      <c r="N284" s="59"/>
    </row>
    <row r="285" spans="1:14" ht="22" customHeight="1">
      <c r="A285" s="59"/>
      <c r="B285" s="59"/>
      <c r="C285" s="61"/>
      <c r="D285" s="61"/>
      <c r="E285" s="61"/>
      <c r="F285" s="61"/>
      <c r="G285" s="61"/>
      <c r="H285" s="61"/>
      <c r="I285" s="61"/>
      <c r="J285" s="61"/>
      <c r="K285" s="61"/>
      <c r="L285" s="61"/>
      <c r="M285" s="59"/>
      <c r="N285" s="59"/>
    </row>
    <row r="286" spans="1:14" ht="22" customHeight="1">
      <c r="A286" s="59"/>
      <c r="B286" s="59"/>
      <c r="C286" s="112" t="s">
        <v>1597</v>
      </c>
      <c r="D286" s="1"/>
      <c r="E286" s="1"/>
      <c r="F286" s="1"/>
      <c r="G286" s="1"/>
      <c r="H286" s="1"/>
      <c r="I286" s="1"/>
      <c r="J286" s="1"/>
      <c r="K286" s="1"/>
      <c r="L286" s="1"/>
      <c r="M286" s="59"/>
      <c r="N286" s="59"/>
    </row>
    <row r="287" spans="1:14" ht="22" customHeight="1">
      <c r="A287" s="59"/>
      <c r="B287" s="59"/>
      <c r="C287" s="2" t="s">
        <v>1598</v>
      </c>
      <c r="D287" s="1"/>
      <c r="E287" s="1"/>
      <c r="F287" s="1"/>
      <c r="G287" s="1"/>
      <c r="H287" s="1"/>
      <c r="I287" s="1"/>
      <c r="J287" s="1"/>
      <c r="K287" s="1"/>
      <c r="L287" s="1"/>
      <c r="M287" s="59"/>
      <c r="N287" s="59"/>
    </row>
    <row r="288" spans="1:14" ht="22" customHeight="1">
      <c r="A288" s="59"/>
      <c r="B288" s="59"/>
      <c r="C288" s="68" t="s">
        <v>1599</v>
      </c>
      <c r="D288" s="61"/>
      <c r="E288" s="61"/>
      <c r="F288" s="61"/>
      <c r="G288" s="61"/>
      <c r="H288" s="61"/>
      <c r="I288" s="61"/>
      <c r="J288" s="61"/>
      <c r="K288" s="61"/>
      <c r="L288" s="61"/>
      <c r="M288" s="59"/>
      <c r="N288" s="59"/>
    </row>
    <row r="289" spans="1:14" ht="22" customHeight="1">
      <c r="A289" s="59"/>
      <c r="B289" s="59"/>
      <c r="C289" s="61"/>
      <c r="D289" s="61"/>
      <c r="E289" s="61"/>
      <c r="F289" s="61"/>
      <c r="G289" s="61"/>
      <c r="H289" s="61"/>
      <c r="I289" s="61"/>
      <c r="J289" s="61"/>
      <c r="K289" s="61"/>
      <c r="L289" s="61"/>
      <c r="M289" s="59"/>
      <c r="N289" s="59"/>
    </row>
    <row r="290" spans="1:14" ht="22" customHeight="1">
      <c r="A290" s="59"/>
      <c r="B290" s="59"/>
      <c r="C290" s="112" t="s">
        <v>1600</v>
      </c>
      <c r="D290" s="1"/>
      <c r="E290" s="1"/>
      <c r="F290" s="1"/>
      <c r="G290" s="1"/>
      <c r="H290" s="1"/>
      <c r="I290" s="1"/>
      <c r="J290" s="1"/>
      <c r="K290" s="1"/>
      <c r="L290" s="1"/>
      <c r="M290" s="59"/>
      <c r="N290" s="59"/>
    </row>
    <row r="291" spans="1:14" ht="22" customHeight="1">
      <c r="A291" s="59"/>
      <c r="B291" s="59"/>
      <c r="C291" s="112" t="s">
        <v>1601</v>
      </c>
      <c r="D291" s="1"/>
      <c r="E291" s="1"/>
      <c r="F291" s="1"/>
      <c r="G291" s="1"/>
      <c r="H291" s="1"/>
      <c r="I291" s="1"/>
      <c r="J291" s="1"/>
      <c r="K291" s="1"/>
      <c r="L291" s="1"/>
      <c r="M291" s="59"/>
      <c r="N291" s="59"/>
    </row>
    <row r="292" spans="1:14" ht="22" customHeight="1">
      <c r="A292" s="59"/>
      <c r="B292" s="59"/>
      <c r="C292" s="68" t="s">
        <v>1602</v>
      </c>
      <c r="D292" s="61"/>
      <c r="E292" s="61"/>
      <c r="F292" s="61"/>
      <c r="G292" s="61"/>
      <c r="H292" s="61"/>
      <c r="I292" s="61"/>
      <c r="J292" s="61"/>
      <c r="K292" s="61"/>
      <c r="L292" s="61"/>
      <c r="M292" s="59"/>
      <c r="N292" s="59"/>
    </row>
    <row r="293" spans="1:14" ht="22" customHeight="1">
      <c r="A293" s="59"/>
      <c r="B293" s="59"/>
      <c r="C293" s="61"/>
      <c r="D293" s="61"/>
      <c r="E293" s="61"/>
      <c r="F293" s="61"/>
      <c r="G293" s="61"/>
      <c r="H293" s="61"/>
      <c r="I293" s="61"/>
      <c r="J293" s="61"/>
      <c r="K293" s="61"/>
      <c r="L293" s="61"/>
      <c r="M293" s="59"/>
      <c r="N293" s="59"/>
    </row>
    <row r="294" spans="1:14" ht="22" customHeight="1">
      <c r="A294" s="59"/>
      <c r="B294" s="59"/>
      <c r="C294" s="112" t="s">
        <v>1603</v>
      </c>
      <c r="D294" s="1"/>
      <c r="E294" s="1"/>
      <c r="F294" s="1"/>
      <c r="G294" s="1"/>
      <c r="H294" s="1"/>
      <c r="I294" s="1"/>
      <c r="J294" s="1"/>
      <c r="K294" s="1"/>
      <c r="L294" s="1"/>
      <c r="M294" s="59"/>
      <c r="N294" s="59"/>
    </row>
    <row r="295" spans="1:14" ht="22" customHeight="1">
      <c r="A295" s="59"/>
      <c r="B295" s="59"/>
      <c r="C295" s="112" t="s">
        <v>1604</v>
      </c>
      <c r="D295" s="1"/>
      <c r="E295" s="1"/>
      <c r="F295" s="1"/>
      <c r="G295" s="1"/>
      <c r="H295" s="1"/>
      <c r="I295" s="1"/>
      <c r="J295" s="1"/>
      <c r="K295" s="1"/>
      <c r="L295" s="1"/>
      <c r="M295" s="59"/>
      <c r="N295" s="59"/>
    </row>
    <row r="296" spans="1:14" ht="22" customHeight="1">
      <c r="A296" s="59"/>
      <c r="B296" s="59"/>
      <c r="C296" s="61"/>
      <c r="D296" s="61"/>
      <c r="E296" s="61"/>
      <c r="F296" s="61"/>
      <c r="G296" s="61"/>
      <c r="H296" s="61"/>
      <c r="I296" s="61"/>
      <c r="J296" s="61"/>
      <c r="K296" s="61"/>
      <c r="L296" s="61"/>
      <c r="M296" s="59"/>
      <c r="N296" s="59"/>
    </row>
    <row r="297" spans="1:14" ht="22" customHeight="1">
      <c r="A297" s="59"/>
      <c r="B297" s="59"/>
      <c r="C297" s="61"/>
      <c r="D297" s="61"/>
      <c r="E297" s="61"/>
      <c r="F297" s="61"/>
      <c r="G297" s="61"/>
      <c r="H297" s="61"/>
      <c r="I297" s="61"/>
      <c r="J297" s="61"/>
      <c r="K297" s="61"/>
      <c r="L297" s="61"/>
      <c r="M297" s="59"/>
      <c r="N297" s="59"/>
    </row>
    <row r="298" spans="1:14" ht="22" customHeight="1">
      <c r="A298" s="59"/>
      <c r="B298" s="59"/>
      <c r="C298" s="112" t="s">
        <v>1605</v>
      </c>
      <c r="D298" s="1"/>
      <c r="E298" s="1"/>
      <c r="F298" s="1"/>
      <c r="G298" s="1"/>
      <c r="H298" s="1"/>
      <c r="I298" s="1"/>
      <c r="J298" s="1"/>
      <c r="K298" s="1"/>
      <c r="L298" s="1"/>
      <c r="M298" s="59"/>
      <c r="N298" s="59"/>
    </row>
    <row r="299" spans="1:14" ht="22" customHeight="1">
      <c r="A299" s="59"/>
      <c r="B299" s="59"/>
      <c r="C299" s="112" t="s">
        <v>1606</v>
      </c>
      <c r="D299" s="1"/>
      <c r="E299" s="1"/>
      <c r="F299" s="1"/>
      <c r="G299" s="1"/>
      <c r="H299" s="1"/>
      <c r="I299" s="1"/>
      <c r="J299" s="1"/>
      <c r="K299" s="1"/>
      <c r="L299" s="1"/>
      <c r="M299" s="59"/>
      <c r="N299" s="59"/>
    </row>
    <row r="300" spans="1:14" ht="22" customHeight="1">
      <c r="A300" s="59"/>
      <c r="B300" s="59"/>
      <c r="C300" s="61"/>
      <c r="D300" s="61"/>
      <c r="E300" s="61"/>
      <c r="F300" s="61"/>
      <c r="G300" s="61"/>
      <c r="H300" s="61"/>
      <c r="I300" s="61"/>
      <c r="J300" s="61"/>
      <c r="K300" s="61"/>
      <c r="L300" s="61"/>
      <c r="M300" s="59"/>
      <c r="N300" s="59"/>
    </row>
    <row r="301" spans="1:14" ht="22" customHeight="1">
      <c r="A301" s="59"/>
      <c r="B301" s="59"/>
      <c r="C301" s="61"/>
      <c r="D301" s="61"/>
      <c r="E301" s="61"/>
      <c r="F301" s="61"/>
      <c r="G301" s="61"/>
      <c r="H301" s="61"/>
      <c r="I301" s="61"/>
      <c r="J301" s="61"/>
      <c r="K301" s="61"/>
      <c r="L301" s="61"/>
      <c r="M301" s="59"/>
      <c r="N301" s="59"/>
    </row>
    <row r="302" spans="1:14" ht="22" customHeight="1">
      <c r="A302" s="59"/>
      <c r="B302" s="59"/>
      <c r="C302" s="112" t="s">
        <v>1607</v>
      </c>
      <c r="D302" s="1"/>
      <c r="E302" s="1"/>
      <c r="F302" s="1"/>
      <c r="G302" s="1"/>
      <c r="H302" s="1"/>
      <c r="I302" s="1"/>
      <c r="J302" s="1"/>
      <c r="K302" s="1"/>
      <c r="L302" s="1"/>
      <c r="M302" s="59"/>
      <c r="N302" s="59"/>
    </row>
    <row r="303" spans="1:14" ht="22" customHeight="1">
      <c r="A303" s="59"/>
      <c r="B303" s="59"/>
      <c r="C303" s="112" t="s">
        <v>1608</v>
      </c>
      <c r="D303" s="1"/>
      <c r="E303" s="1"/>
      <c r="F303" s="1"/>
      <c r="G303" s="1"/>
      <c r="H303" s="1"/>
      <c r="I303" s="1"/>
      <c r="J303" s="1"/>
      <c r="K303" s="1"/>
      <c r="L303" s="1"/>
      <c r="M303" s="59"/>
      <c r="N303" s="59"/>
    </row>
    <row r="304" spans="1:14" ht="22" customHeight="1">
      <c r="A304" s="59"/>
      <c r="B304" s="59"/>
      <c r="C304" s="61"/>
      <c r="D304" s="61"/>
      <c r="E304" s="61"/>
      <c r="F304" s="61"/>
      <c r="G304" s="61"/>
      <c r="H304" s="61"/>
      <c r="I304" s="61"/>
      <c r="J304" s="61"/>
      <c r="K304" s="61"/>
      <c r="L304" s="61"/>
      <c r="M304" s="59"/>
      <c r="N304" s="59"/>
    </row>
    <row r="305" spans="1:14" ht="22" customHeight="1">
      <c r="A305" s="59"/>
      <c r="B305" s="59"/>
      <c r="C305" s="61"/>
      <c r="D305" s="61"/>
      <c r="E305" s="61"/>
      <c r="F305" s="61"/>
      <c r="G305" s="61"/>
      <c r="H305" s="61"/>
      <c r="I305" s="61"/>
      <c r="J305" s="61"/>
      <c r="K305" s="61"/>
      <c r="L305" s="61"/>
      <c r="M305" s="59"/>
      <c r="N305" s="59"/>
    </row>
    <row r="306" spans="1:14" ht="22" customHeight="1">
      <c r="A306" s="59"/>
      <c r="B306" s="59"/>
      <c r="C306" s="112" t="s">
        <v>1609</v>
      </c>
      <c r="D306" s="1"/>
      <c r="E306" s="1"/>
      <c r="F306" s="1"/>
      <c r="G306" s="1"/>
      <c r="H306" s="1"/>
      <c r="I306" s="1"/>
      <c r="J306" s="1"/>
      <c r="K306" s="1"/>
      <c r="L306" s="1"/>
      <c r="M306" s="59"/>
      <c r="N306" s="59"/>
    </row>
    <row r="307" spans="1:14" ht="22" customHeight="1">
      <c r="A307" s="59"/>
      <c r="B307" s="59"/>
      <c r="C307" s="112" t="s">
        <v>1610</v>
      </c>
      <c r="D307" s="1"/>
      <c r="E307" s="1"/>
      <c r="F307" s="1"/>
      <c r="G307" s="1"/>
      <c r="H307" s="1"/>
      <c r="I307" s="1"/>
      <c r="J307" s="1"/>
      <c r="K307" s="1"/>
      <c r="L307" s="1"/>
      <c r="M307" s="59"/>
      <c r="N307" s="59"/>
    </row>
    <row r="308" spans="1:14" ht="22" customHeight="1">
      <c r="A308" s="59"/>
      <c r="B308" s="59"/>
      <c r="C308" s="61"/>
      <c r="D308" s="61"/>
      <c r="E308" s="61"/>
      <c r="F308" s="61"/>
      <c r="G308" s="61"/>
      <c r="H308" s="61"/>
      <c r="I308" s="61"/>
      <c r="J308" s="61"/>
      <c r="K308" s="61"/>
      <c r="L308" s="61"/>
      <c r="M308" s="59"/>
      <c r="N308" s="59"/>
    </row>
    <row r="309" spans="1:14" ht="22" customHeight="1">
      <c r="A309" s="59"/>
      <c r="B309" s="59"/>
      <c r="C309" s="61"/>
      <c r="D309" s="61"/>
      <c r="E309" s="61"/>
      <c r="F309" s="61"/>
      <c r="G309" s="61"/>
      <c r="H309" s="61"/>
      <c r="I309" s="61"/>
      <c r="J309" s="61"/>
      <c r="K309" s="61"/>
      <c r="L309" s="61"/>
      <c r="M309" s="59"/>
      <c r="N309" s="59"/>
    </row>
    <row r="310" spans="1:14" ht="22" customHeight="1">
      <c r="A310" s="59"/>
      <c r="B310" s="59"/>
      <c r="C310" s="112" t="s">
        <v>1611</v>
      </c>
      <c r="D310" s="1"/>
      <c r="E310" s="1"/>
      <c r="F310" s="1"/>
      <c r="G310" s="1"/>
      <c r="H310" s="1"/>
      <c r="I310" s="1"/>
      <c r="J310" s="1"/>
      <c r="K310" s="1"/>
      <c r="L310" s="1"/>
      <c r="M310" s="59"/>
      <c r="N310" s="59"/>
    </row>
    <row r="311" spans="1:14" ht="22" customHeight="1">
      <c r="A311" s="59"/>
      <c r="B311" s="59"/>
      <c r="C311" s="112" t="s">
        <v>1612</v>
      </c>
      <c r="D311" s="1"/>
      <c r="E311" s="1"/>
      <c r="F311" s="1"/>
      <c r="G311" s="1"/>
      <c r="H311" s="1"/>
      <c r="I311" s="1"/>
      <c r="J311" s="1"/>
      <c r="K311" s="1"/>
      <c r="L311" s="1"/>
      <c r="M311" s="59"/>
      <c r="N311" s="59"/>
    </row>
    <row r="312" spans="1:14" ht="22" customHeight="1">
      <c r="A312" s="59"/>
      <c r="B312" s="59"/>
      <c r="C312" s="61"/>
      <c r="D312" s="61"/>
      <c r="E312" s="61"/>
      <c r="F312" s="61"/>
      <c r="G312" s="61"/>
      <c r="H312" s="61"/>
      <c r="I312" s="61"/>
      <c r="J312" s="61"/>
      <c r="K312" s="61"/>
      <c r="L312" s="61"/>
      <c r="M312" s="59"/>
      <c r="N312" s="59"/>
    </row>
    <row r="313" spans="1:14" ht="22" customHeight="1">
      <c r="A313" s="59"/>
      <c r="B313" s="59"/>
      <c r="C313" s="61"/>
      <c r="D313" s="61"/>
      <c r="E313" s="61"/>
      <c r="F313" s="61"/>
      <c r="G313" s="61"/>
      <c r="H313" s="61"/>
      <c r="I313" s="61"/>
      <c r="J313" s="61"/>
      <c r="K313" s="61"/>
      <c r="L313" s="61"/>
      <c r="M313" s="59"/>
      <c r="N313" s="59"/>
    </row>
    <row r="314" spans="1:14" ht="22" customHeight="1">
      <c r="A314" s="59"/>
      <c r="B314" s="59"/>
      <c r="C314" s="112" t="s">
        <v>1613</v>
      </c>
      <c r="D314" s="1"/>
      <c r="E314" s="1"/>
      <c r="F314" s="1"/>
      <c r="G314" s="1"/>
      <c r="H314" s="1"/>
      <c r="I314" s="1"/>
      <c r="J314" s="1"/>
      <c r="K314" s="1"/>
      <c r="L314" s="1"/>
      <c r="M314" s="59"/>
      <c r="N314" s="59"/>
    </row>
    <row r="315" spans="1:14" ht="22" customHeight="1">
      <c r="A315" s="59"/>
      <c r="B315" s="59"/>
      <c r="C315" s="61"/>
      <c r="D315" s="61"/>
      <c r="E315" s="61"/>
      <c r="F315" s="61"/>
      <c r="G315" s="61"/>
      <c r="H315" s="61"/>
      <c r="I315" s="61"/>
      <c r="J315" s="61"/>
      <c r="K315" s="61"/>
      <c r="L315" s="61"/>
      <c r="M315" s="59"/>
      <c r="N315" s="59"/>
    </row>
    <row r="316" spans="1:14" ht="22" customHeight="1">
      <c r="A316" s="59"/>
      <c r="B316" s="59"/>
      <c r="C316" s="61"/>
      <c r="D316" s="61"/>
      <c r="E316" s="61"/>
      <c r="F316" s="61"/>
      <c r="G316" s="61"/>
      <c r="H316" s="61"/>
      <c r="I316" s="61"/>
      <c r="J316" s="61"/>
      <c r="K316" s="61"/>
      <c r="L316" s="61"/>
      <c r="M316" s="59"/>
      <c r="N316" s="59"/>
    </row>
    <row r="317" spans="1:14" ht="22" customHeight="1">
      <c r="A317" s="59"/>
      <c r="B317" s="59"/>
      <c r="C317" s="61"/>
      <c r="D317" s="61"/>
      <c r="E317" s="61"/>
      <c r="F317" s="61"/>
      <c r="G317" s="61"/>
      <c r="H317" s="61"/>
      <c r="I317" s="61"/>
      <c r="J317" s="61"/>
      <c r="K317" s="61"/>
      <c r="L317" s="61"/>
      <c r="M317" s="59"/>
      <c r="N317" s="59"/>
    </row>
    <row r="318" spans="1:14" ht="34" customHeight="1">
      <c r="A318" s="59"/>
      <c r="B318" s="59"/>
      <c r="C318" s="116" t="s">
        <v>1614</v>
      </c>
      <c r="D318" s="116"/>
      <c r="E318" s="116"/>
      <c r="F318" s="116"/>
      <c r="G318" s="116"/>
      <c r="H318" s="116"/>
      <c r="I318" s="116"/>
      <c r="J318" s="116"/>
      <c r="K318" s="116"/>
      <c r="L318" s="116"/>
      <c r="M318" s="59"/>
      <c r="N318" s="59"/>
    </row>
    <row r="319" spans="1:14" ht="34" customHeight="1">
      <c r="A319" s="59"/>
      <c r="B319" s="59"/>
      <c r="C319" s="115" t="s">
        <v>1615</v>
      </c>
      <c r="D319" s="115"/>
      <c r="E319" s="115"/>
      <c r="F319" s="115"/>
      <c r="G319" s="115"/>
      <c r="H319" s="115"/>
      <c r="I319" s="115"/>
      <c r="J319" s="115"/>
      <c r="K319" s="115"/>
      <c r="L319" s="115"/>
      <c r="M319" s="59"/>
      <c r="N319" s="59"/>
    </row>
    <row r="320" spans="1:14" ht="34" customHeight="1">
      <c r="A320" s="59"/>
      <c r="B320" s="59"/>
      <c r="C320" s="115" t="s">
        <v>1616</v>
      </c>
      <c r="D320" s="115"/>
      <c r="E320" s="115"/>
      <c r="F320" s="115"/>
      <c r="G320" s="115"/>
      <c r="H320" s="115"/>
      <c r="I320" s="115"/>
      <c r="J320" s="115"/>
      <c r="K320" s="115"/>
      <c r="L320" s="115"/>
      <c r="M320" s="59"/>
      <c r="N320" s="59"/>
    </row>
    <row r="321" spans="3:12">
      <c r="C321" s="61"/>
      <c r="D321" s="61"/>
      <c r="E321" s="61"/>
      <c r="F321" s="61"/>
      <c r="G321" s="61"/>
      <c r="H321" s="61"/>
      <c r="I321" s="61"/>
      <c r="J321" s="61"/>
      <c r="K321" s="61"/>
      <c r="L321" s="61"/>
    </row>
    <row r="322" spans="3:12" ht="34" customHeight="1">
      <c r="C322" s="116" t="s">
        <v>1617</v>
      </c>
      <c r="D322" s="116"/>
      <c r="E322" s="116"/>
      <c r="F322" s="116"/>
      <c r="G322" s="116"/>
      <c r="H322" s="116"/>
      <c r="I322" s="116"/>
      <c r="J322" s="116"/>
      <c r="K322" s="116"/>
      <c r="L322" s="116"/>
    </row>
    <row r="323" spans="3:12" ht="34" customHeight="1">
      <c r="C323" s="115" t="s">
        <v>1618</v>
      </c>
      <c r="D323" s="115"/>
      <c r="E323" s="115"/>
      <c r="F323" s="115"/>
      <c r="G323" s="115"/>
      <c r="H323" s="115"/>
      <c r="I323" s="115"/>
      <c r="J323" s="115"/>
      <c r="K323" s="115"/>
      <c r="L323" s="115"/>
    </row>
    <row r="324" spans="3:12" ht="34" customHeight="1">
      <c r="C324" s="115" t="s">
        <v>1619</v>
      </c>
      <c r="D324" s="115"/>
      <c r="E324" s="115"/>
      <c r="F324" s="115"/>
      <c r="G324" s="115"/>
      <c r="H324" s="115"/>
      <c r="I324" s="115"/>
      <c r="J324" s="115"/>
      <c r="K324" s="115"/>
      <c r="L324" s="115"/>
    </row>
    <row r="325" spans="3:12">
      <c r="C325" s="61"/>
      <c r="D325" s="61"/>
      <c r="E325" s="61"/>
      <c r="F325" s="61"/>
      <c r="G325" s="61"/>
      <c r="H325" s="61"/>
      <c r="I325" s="61"/>
      <c r="J325" s="61"/>
      <c r="K325" s="61"/>
      <c r="L325" s="61"/>
    </row>
    <row r="326" spans="3:12" ht="34" customHeight="1">
      <c r="C326" s="116" t="s">
        <v>1620</v>
      </c>
      <c r="D326" s="116"/>
      <c r="E326" s="116"/>
      <c r="F326" s="116"/>
      <c r="G326" s="116"/>
      <c r="H326" s="116"/>
      <c r="I326" s="116"/>
      <c r="J326" s="116"/>
      <c r="K326" s="116"/>
      <c r="L326" s="116"/>
    </row>
    <row r="327" spans="3:12" ht="34" customHeight="1">
      <c r="C327" s="115" t="s">
        <v>1621</v>
      </c>
      <c r="D327" s="115"/>
      <c r="E327" s="115"/>
      <c r="F327" s="115"/>
      <c r="G327" s="115"/>
      <c r="H327" s="115"/>
      <c r="I327" s="115"/>
      <c r="J327" s="115"/>
      <c r="K327" s="115"/>
      <c r="L327" s="115"/>
    </row>
    <row r="328" spans="3:12" ht="34" customHeight="1">
      <c r="C328" s="115" t="s">
        <v>1622</v>
      </c>
      <c r="D328" s="115"/>
      <c r="E328" s="115"/>
      <c r="F328" s="115"/>
      <c r="G328" s="115"/>
      <c r="H328" s="115"/>
      <c r="I328" s="115"/>
      <c r="J328" s="115"/>
      <c r="K328" s="115"/>
      <c r="L328" s="115"/>
    </row>
    <row r="329" spans="3:12">
      <c r="C329" s="61"/>
      <c r="D329" s="61"/>
      <c r="E329" s="61"/>
      <c r="F329" s="61"/>
      <c r="G329" s="61"/>
      <c r="H329" s="61"/>
      <c r="I329" s="61"/>
      <c r="J329" s="61"/>
      <c r="K329" s="61"/>
      <c r="L329" s="61"/>
    </row>
    <row r="330" spans="3:12" ht="34" customHeight="1">
      <c r="C330" s="116" t="s">
        <v>1623</v>
      </c>
      <c r="D330" s="116"/>
      <c r="E330" s="116"/>
      <c r="F330" s="116"/>
      <c r="G330" s="116"/>
      <c r="H330" s="116"/>
      <c r="I330" s="116"/>
      <c r="J330" s="116"/>
      <c r="K330" s="116"/>
      <c r="L330" s="116"/>
    </row>
    <row r="331" spans="3:12" ht="34" customHeight="1">
      <c r="C331" s="115" t="s">
        <v>1624</v>
      </c>
      <c r="D331" s="115"/>
      <c r="E331" s="115"/>
      <c r="F331" s="115"/>
      <c r="G331" s="115"/>
      <c r="H331" s="115"/>
      <c r="I331" s="115"/>
      <c r="J331" s="115"/>
      <c r="K331" s="115"/>
      <c r="L331" s="115"/>
    </row>
    <row r="332" spans="3:12" ht="34" customHeight="1">
      <c r="C332" s="115" t="s">
        <v>1625</v>
      </c>
      <c r="D332" s="115"/>
      <c r="E332" s="115"/>
      <c r="F332" s="115"/>
      <c r="G332" s="115"/>
      <c r="H332" s="115"/>
      <c r="I332" s="115"/>
      <c r="J332" s="115"/>
      <c r="K332" s="115"/>
      <c r="L332" s="115"/>
    </row>
    <row r="333" spans="3:12">
      <c r="C333" s="61"/>
      <c r="D333" s="61"/>
      <c r="E333" s="61"/>
      <c r="F333" s="61"/>
      <c r="G333" s="61"/>
      <c r="H333" s="61"/>
      <c r="I333" s="61"/>
      <c r="J333" s="61"/>
      <c r="K333" s="61"/>
      <c r="L333" s="61"/>
    </row>
    <row r="334" spans="3:12" ht="34" customHeight="1">
      <c r="C334" s="116" t="s">
        <v>1626</v>
      </c>
      <c r="D334" s="116"/>
      <c r="E334" s="116"/>
      <c r="F334" s="116"/>
      <c r="G334" s="116"/>
      <c r="H334" s="116"/>
      <c r="I334" s="116"/>
      <c r="J334" s="116"/>
      <c r="K334" s="116"/>
      <c r="L334" s="116"/>
    </row>
    <row r="335" spans="3:12" ht="34" customHeight="1">
      <c r="C335" s="115" t="s">
        <v>1627</v>
      </c>
      <c r="D335" s="115"/>
      <c r="E335" s="115"/>
      <c r="F335" s="115"/>
      <c r="G335" s="115"/>
      <c r="H335" s="115"/>
      <c r="I335" s="115"/>
      <c r="J335" s="115"/>
      <c r="K335" s="115"/>
      <c r="L335" s="115"/>
    </row>
    <row r="336" spans="3:12" ht="34" customHeight="1">
      <c r="C336" s="115" t="s">
        <v>1628</v>
      </c>
      <c r="D336" s="115"/>
      <c r="E336" s="115"/>
      <c r="F336" s="115"/>
      <c r="G336" s="115"/>
      <c r="H336" s="115"/>
      <c r="I336" s="115"/>
      <c r="J336" s="115"/>
      <c r="K336" s="115"/>
      <c r="L336" s="115"/>
    </row>
    <row r="337" spans="3:12">
      <c r="C337" s="61"/>
      <c r="D337" s="61"/>
      <c r="E337" s="61"/>
      <c r="F337" s="61"/>
      <c r="G337" s="61"/>
      <c r="H337" s="61"/>
      <c r="I337" s="61"/>
      <c r="J337" s="61"/>
      <c r="K337" s="61"/>
      <c r="L337" s="61"/>
    </row>
    <row r="338" spans="3:12" ht="34" customHeight="1">
      <c r="C338" s="116" t="s">
        <v>1629</v>
      </c>
      <c r="D338" s="116"/>
      <c r="E338" s="116"/>
      <c r="F338" s="116"/>
      <c r="G338" s="116"/>
      <c r="H338" s="116"/>
      <c r="I338" s="116"/>
      <c r="J338" s="116"/>
      <c r="K338" s="116"/>
      <c r="L338" s="116"/>
    </row>
    <row r="339" spans="3:12" ht="34" customHeight="1">
      <c r="C339" s="115" t="s">
        <v>1630</v>
      </c>
      <c r="D339" s="115"/>
      <c r="E339" s="115"/>
      <c r="F339" s="115"/>
      <c r="G339" s="115"/>
      <c r="H339" s="115"/>
      <c r="I339" s="115"/>
      <c r="J339" s="115"/>
      <c r="K339" s="115"/>
      <c r="L339" s="115"/>
    </row>
    <row r="340" spans="3:12" ht="34" customHeight="1">
      <c r="C340" s="115" t="s">
        <v>1631</v>
      </c>
      <c r="D340" s="115"/>
      <c r="E340" s="115"/>
      <c r="F340" s="115"/>
      <c r="G340" s="115"/>
      <c r="H340" s="115"/>
      <c r="I340" s="115"/>
      <c r="J340" s="115"/>
      <c r="K340" s="115"/>
      <c r="L340" s="115"/>
    </row>
    <row r="341" spans="3:12">
      <c r="C341" s="61"/>
      <c r="D341" s="61"/>
      <c r="E341" s="61"/>
      <c r="F341" s="61"/>
      <c r="G341" s="61"/>
      <c r="H341" s="61"/>
      <c r="I341" s="61"/>
      <c r="J341" s="61"/>
      <c r="K341" s="61"/>
      <c r="L341" s="61"/>
    </row>
    <row r="342" spans="3:12" ht="34" customHeight="1">
      <c r="C342" s="116" t="s">
        <v>1632</v>
      </c>
      <c r="D342" s="116"/>
      <c r="E342" s="116"/>
      <c r="F342" s="116"/>
      <c r="G342" s="116"/>
      <c r="H342" s="116"/>
      <c r="I342" s="116"/>
      <c r="J342" s="116"/>
      <c r="K342" s="116"/>
      <c r="L342" s="116"/>
    </row>
    <row r="343" spans="3:12" ht="34" customHeight="1">
      <c r="C343" s="115" t="s">
        <v>1633</v>
      </c>
      <c r="D343" s="115"/>
      <c r="E343" s="115"/>
      <c r="F343" s="115"/>
      <c r="G343" s="115"/>
      <c r="H343" s="115"/>
      <c r="I343" s="115"/>
      <c r="J343" s="115"/>
      <c r="K343" s="115"/>
      <c r="L343" s="115"/>
    </row>
    <row r="344" spans="3:12" ht="34" customHeight="1">
      <c r="C344" s="115" t="s">
        <v>1634</v>
      </c>
      <c r="D344" s="115"/>
      <c r="E344" s="115"/>
      <c r="F344" s="115"/>
      <c r="G344" s="115"/>
      <c r="H344" s="115"/>
      <c r="I344" s="115"/>
      <c r="J344" s="115"/>
      <c r="K344" s="115"/>
      <c r="L344" s="115"/>
    </row>
    <row r="345" spans="3:12">
      <c r="C345" s="61"/>
      <c r="D345" s="61"/>
      <c r="E345" s="61"/>
      <c r="F345" s="61"/>
      <c r="G345" s="61"/>
      <c r="H345" s="61"/>
      <c r="I345" s="61"/>
      <c r="J345" s="61"/>
      <c r="K345" s="61"/>
      <c r="L345" s="61"/>
    </row>
    <row r="346" spans="3:12">
      <c r="C346" s="61"/>
      <c r="D346" s="61"/>
      <c r="E346" s="61"/>
      <c r="F346" s="61"/>
      <c r="G346" s="61"/>
      <c r="H346" s="61"/>
      <c r="I346" s="61"/>
      <c r="J346" s="61"/>
      <c r="K346" s="61"/>
      <c r="L346" s="61"/>
    </row>
    <row r="347" spans="3:12">
      <c r="C347" s="61"/>
      <c r="D347" s="61"/>
      <c r="E347" s="61"/>
      <c r="F347" s="61"/>
      <c r="G347" s="61"/>
      <c r="H347" s="61"/>
      <c r="I347" s="61"/>
      <c r="J347" s="61"/>
      <c r="K347" s="61"/>
      <c r="L347" s="61"/>
    </row>
    <row r="348" spans="3:12">
      <c r="C348" s="61"/>
      <c r="D348" s="61"/>
      <c r="E348" s="61"/>
      <c r="F348" s="61"/>
      <c r="G348" s="61"/>
      <c r="H348" s="61"/>
      <c r="I348" s="61"/>
      <c r="J348" s="61"/>
      <c r="K348" s="61"/>
      <c r="L348" s="61"/>
    </row>
    <row r="349" spans="3:12" ht="25" customHeight="1">
      <c r="C349" s="60" t="s">
        <v>1635</v>
      </c>
      <c r="D349" s="60"/>
      <c r="E349" s="60"/>
      <c r="F349" s="60"/>
      <c r="G349" s="60"/>
      <c r="H349" s="60"/>
      <c r="I349" s="60"/>
      <c r="J349" s="60"/>
      <c r="K349" s="60"/>
      <c r="L349" s="60"/>
    </row>
    <row r="350" spans="3:12" ht="24" customHeight="1">
      <c r="C350" s="68"/>
      <c r="D350" s="68"/>
      <c r="E350" s="68"/>
      <c r="F350" s="68"/>
      <c r="G350" s="68"/>
      <c r="H350" s="68"/>
      <c r="I350" s="68"/>
      <c r="J350" s="68"/>
      <c r="K350" s="68"/>
      <c r="L350" s="68"/>
    </row>
    <row r="351" spans="3:12" ht="24" customHeight="1">
      <c r="C351" s="68" t="s">
        <v>1636</v>
      </c>
      <c r="D351" s="68"/>
      <c r="E351" s="68"/>
      <c r="F351" s="68"/>
      <c r="G351" s="83">
        <v>5.1774569382530354E-2</v>
      </c>
      <c r="H351" s="68"/>
      <c r="I351" s="68"/>
      <c r="J351" s="68"/>
      <c r="K351" s="68"/>
      <c r="L351" s="68"/>
    </row>
    <row r="352" spans="3:12" ht="24" customHeight="1">
      <c r="C352" s="68" t="s">
        <v>1637</v>
      </c>
      <c r="D352" s="68"/>
      <c r="E352" s="68"/>
      <c r="F352" s="68"/>
      <c r="G352" s="69">
        <v>300</v>
      </c>
      <c r="H352" s="68"/>
      <c r="I352" s="68"/>
      <c r="J352" s="68"/>
      <c r="K352" s="68"/>
      <c r="L352" s="68"/>
    </row>
    <row r="353" spans="3:12" ht="24" customHeight="1">
      <c r="C353" s="68" t="s">
        <v>1638</v>
      </c>
      <c r="D353" s="68"/>
      <c r="E353" s="68"/>
      <c r="F353" s="68"/>
      <c r="G353" s="84">
        <v>3.6249999999999998E-2</v>
      </c>
      <c r="H353" s="68"/>
      <c r="I353" s="68"/>
      <c r="J353" s="68"/>
      <c r="K353" s="68"/>
      <c r="L353" s="68"/>
    </row>
    <row r="354" spans="3:12" ht="24" customHeight="1">
      <c r="C354" s="68" t="s">
        <v>1639</v>
      </c>
      <c r="D354" s="68"/>
      <c r="E354" s="68"/>
      <c r="F354" s="68"/>
      <c r="G354" s="69">
        <v>113.6</v>
      </c>
      <c r="H354" s="68"/>
      <c r="I354" s="68"/>
      <c r="J354" s="68"/>
      <c r="K354" s="68"/>
      <c r="L354" s="68"/>
    </row>
    <row r="355" spans="3:12" ht="24" customHeight="1">
      <c r="C355" s="68" t="s">
        <v>1640</v>
      </c>
      <c r="D355" s="68"/>
      <c r="E355" s="68"/>
      <c r="F355" s="68"/>
      <c r="G355" s="79">
        <v>0.05</v>
      </c>
      <c r="H355" s="68"/>
      <c r="I355" s="68"/>
      <c r="J355" s="68"/>
      <c r="K355" s="68"/>
      <c r="L355" s="68"/>
    </row>
    <row r="356" spans="3:12" ht="24" customHeight="1">
      <c r="C356" s="68" t="s">
        <v>1641</v>
      </c>
      <c r="D356" s="68"/>
      <c r="E356" s="68"/>
      <c r="F356" s="68"/>
      <c r="G356" s="69">
        <v>60</v>
      </c>
      <c r="H356" s="68"/>
      <c r="I356" s="68"/>
      <c r="J356" s="68"/>
      <c r="K356" s="68"/>
      <c r="L356" s="68"/>
    </row>
    <row r="357" spans="3:12" ht="24" customHeight="1">
      <c r="C357" s="68" t="s">
        <v>1642</v>
      </c>
      <c r="D357" s="68"/>
      <c r="E357" s="68"/>
      <c r="F357" s="68"/>
      <c r="G357" s="68">
        <f>G181</f>
        <v>36</v>
      </c>
      <c r="H357" s="68"/>
      <c r="I357" s="68"/>
      <c r="J357" s="68"/>
      <c r="K357" s="68"/>
      <c r="L357" s="68"/>
    </row>
    <row r="358" spans="3:12" ht="24" customHeight="1">
      <c r="C358" s="68"/>
      <c r="D358" s="68"/>
      <c r="E358" s="68"/>
      <c r="F358" s="68"/>
      <c r="G358" s="68"/>
      <c r="H358" s="68"/>
      <c r="I358" s="68"/>
      <c r="J358" s="68"/>
      <c r="K358" s="68"/>
      <c r="L358" s="68"/>
    </row>
    <row r="359" spans="3:12" ht="24" customHeight="1">
      <c r="C359" s="68"/>
      <c r="D359" s="68"/>
      <c r="E359" s="68"/>
      <c r="F359" s="68"/>
      <c r="G359" s="68"/>
      <c r="H359" s="68"/>
      <c r="I359" s="68"/>
      <c r="J359" s="68"/>
      <c r="K359" s="68"/>
      <c r="L359" s="68"/>
    </row>
    <row r="360" spans="3:12" ht="24" customHeight="1">
      <c r="C360" s="75" t="s">
        <v>1643</v>
      </c>
      <c r="D360" s="75"/>
      <c r="E360" s="75"/>
      <c r="F360" s="75"/>
      <c r="G360" s="75" t="s">
        <v>1644</v>
      </c>
      <c r="H360" s="75" t="s">
        <v>1645</v>
      </c>
      <c r="I360" s="75" t="s">
        <v>1646</v>
      </c>
      <c r="J360" s="75" t="s">
        <v>1647</v>
      </c>
      <c r="K360" s="75" t="s">
        <v>1648</v>
      </c>
      <c r="L360" s="75" t="s">
        <v>1649</v>
      </c>
    </row>
    <row r="361" spans="3:12" ht="24" customHeight="1">
      <c r="C361" s="68" t="s">
        <v>1650</v>
      </c>
      <c r="D361" s="68"/>
      <c r="E361" s="68"/>
      <c r="F361" s="68"/>
      <c r="G361" s="85">
        <v>46525</v>
      </c>
      <c r="H361" s="71">
        <f t="shared" ref="H361:H367" si="2">(G361-$G$49)/$G$77</f>
        <v>0.69315068493150689</v>
      </c>
      <c r="I361" s="84">
        <v>4.1232873157662407E-2</v>
      </c>
      <c r="J361" s="77">
        <f t="shared" ref="J361:J367" si="3">EXP(I361)-1+$G$66</f>
        <v>5.3194753187079891E-2</v>
      </c>
      <c r="K361" s="68">
        <f>$G$352*$G$353</f>
        <v>10.875</v>
      </c>
      <c r="L361" s="68">
        <f t="shared" ref="L361:L367" si="4">K361/(1+J361)^H361</f>
        <v>10.491252845354827</v>
      </c>
    </row>
    <row r="362" spans="3:12" ht="24" customHeight="1">
      <c r="C362" s="68" t="s">
        <v>1651</v>
      </c>
      <c r="D362" s="68"/>
      <c r="E362" s="68"/>
      <c r="F362" s="68"/>
      <c r="G362" s="85">
        <v>46891</v>
      </c>
      <c r="H362" s="71">
        <f t="shared" si="2"/>
        <v>1.6958904109589041</v>
      </c>
      <c r="I362" s="84">
        <v>4.3346626250320638E-2</v>
      </c>
      <c r="J362" s="77">
        <f t="shared" si="3"/>
        <v>5.5399813850361412E-2</v>
      </c>
      <c r="K362" s="68">
        <f>$G$352*$G$353+$G$352</f>
        <v>310.875</v>
      </c>
      <c r="L362" s="68">
        <f t="shared" si="4"/>
        <v>283.7089980957939</v>
      </c>
    </row>
    <row r="363" spans="3:12" ht="24" customHeight="1">
      <c r="C363" s="68" t="s">
        <v>1652</v>
      </c>
      <c r="D363" s="68"/>
      <c r="E363" s="68"/>
      <c r="F363" s="68"/>
      <c r="G363" s="85">
        <v>46585</v>
      </c>
      <c r="H363" s="71">
        <f t="shared" si="2"/>
        <v>0.8575342465753425</v>
      </c>
      <c r="I363" s="84">
        <v>4.1748114693411963E-2</v>
      </c>
      <c r="J363" s="77">
        <f t="shared" si="3"/>
        <v>5.3731822036316434E-2</v>
      </c>
      <c r="K363" s="68">
        <f>$G$352*$G$355</f>
        <v>15</v>
      </c>
      <c r="L363" s="68">
        <f t="shared" si="4"/>
        <v>14.341660039370213</v>
      </c>
    </row>
    <row r="364" spans="3:12" ht="24" customHeight="1">
      <c r="C364" s="68" t="s">
        <v>1652</v>
      </c>
      <c r="D364" s="68"/>
      <c r="E364" s="68"/>
      <c r="F364" s="68"/>
      <c r="G364" s="85">
        <v>46951</v>
      </c>
      <c r="H364" s="71">
        <f t="shared" si="2"/>
        <v>1.8602739726027397</v>
      </c>
      <c r="I364" s="84">
        <v>4.3555495361198952E-2</v>
      </c>
      <c r="J364" s="77">
        <f t="shared" si="3"/>
        <v>5.5617958605028162E-2</v>
      </c>
      <c r="K364" s="68">
        <f>$G$352*$G$355</f>
        <v>15</v>
      </c>
      <c r="L364" s="68">
        <f t="shared" si="4"/>
        <v>13.563201899418674</v>
      </c>
    </row>
    <row r="365" spans="3:12" ht="24" customHeight="1">
      <c r="C365" s="68" t="s">
        <v>1652</v>
      </c>
      <c r="D365" s="68"/>
      <c r="E365" s="68"/>
      <c r="F365" s="68"/>
      <c r="G365" s="85">
        <v>47316</v>
      </c>
      <c r="H365" s="71">
        <f t="shared" si="2"/>
        <v>2.8602739726027395</v>
      </c>
      <c r="I365" s="84">
        <v>4.4569161581619832E-2</v>
      </c>
      <c r="J365" s="77">
        <f t="shared" si="3"/>
        <v>5.6677287988788572E-2</v>
      </c>
      <c r="K365" s="68">
        <f>$G$352*$G$355</f>
        <v>15</v>
      </c>
      <c r="L365" s="68">
        <f t="shared" si="4"/>
        <v>12.811781196789196</v>
      </c>
    </row>
    <row r="366" spans="3:12" ht="24" customHeight="1">
      <c r="C366" s="68" t="s">
        <v>1652</v>
      </c>
      <c r="D366" s="68"/>
      <c r="E366" s="68"/>
      <c r="F366" s="68"/>
      <c r="G366" s="85">
        <v>47681</v>
      </c>
      <c r="H366" s="71">
        <f t="shared" si="2"/>
        <v>3.8602739726027395</v>
      </c>
      <c r="I366" s="84">
        <v>4.5446214508872006E-2</v>
      </c>
      <c r="J366" s="77">
        <f t="shared" si="3"/>
        <v>5.7594716867920615E-2</v>
      </c>
      <c r="K366" s="68">
        <f>$G$352*$G$355</f>
        <v>15</v>
      </c>
      <c r="L366" s="68">
        <f t="shared" si="4"/>
        <v>12.084041379517014</v>
      </c>
    </row>
    <row r="367" spans="3:12" ht="24" customHeight="1">
      <c r="C367" s="68" t="s">
        <v>530</v>
      </c>
      <c r="D367" s="68"/>
      <c r="E367" s="68"/>
      <c r="F367" s="68"/>
      <c r="G367" s="85">
        <v>48046</v>
      </c>
      <c r="H367" s="71">
        <f t="shared" si="2"/>
        <v>4.86027397260274</v>
      </c>
      <c r="I367" s="84">
        <v>4.6363353311745174E-2</v>
      </c>
      <c r="J367" s="77">
        <f t="shared" si="3"/>
        <v>5.8554938040503379E-2</v>
      </c>
      <c r="K367" s="68">
        <f>$G$352*$G$355+$G$352</f>
        <v>315</v>
      </c>
      <c r="L367" s="68">
        <f t="shared" si="4"/>
        <v>238.88927212258477</v>
      </c>
    </row>
    <row r="368" spans="3:12" ht="24" customHeight="1">
      <c r="C368" s="68"/>
      <c r="D368" s="68"/>
      <c r="E368" s="68"/>
      <c r="F368" s="68"/>
      <c r="G368" s="68"/>
      <c r="H368" s="68"/>
      <c r="I368" s="68"/>
      <c r="J368" s="68"/>
      <c r="K368" s="68"/>
      <c r="L368" s="68"/>
    </row>
    <row r="369" spans="3:12" ht="24" customHeight="1">
      <c r="C369" s="68" t="s">
        <v>1653</v>
      </c>
      <c r="D369" s="68"/>
      <c r="E369" s="68"/>
      <c r="F369" s="68"/>
      <c r="G369" s="68">
        <f>G70</f>
        <v>795.49020757882863</v>
      </c>
      <c r="H369" s="68"/>
      <c r="I369" s="68"/>
      <c r="J369" s="68"/>
      <c r="K369" s="68"/>
      <c r="L369" s="68"/>
    </row>
    <row r="370" spans="3:12">
      <c r="C370" s="61"/>
      <c r="D370" s="61"/>
      <c r="E370" s="61"/>
      <c r="F370" s="61"/>
      <c r="G370" s="61"/>
      <c r="H370" s="61"/>
      <c r="I370" s="61"/>
      <c r="J370" s="61"/>
      <c r="K370" s="61"/>
      <c r="L370" s="61"/>
    </row>
    <row r="371" spans="3:12" ht="34" customHeight="1">
      <c r="C371" s="115" t="s">
        <v>1654</v>
      </c>
      <c r="D371" s="115"/>
      <c r="E371" s="115"/>
      <c r="F371" s="115"/>
      <c r="G371" s="115"/>
      <c r="H371" s="115"/>
      <c r="I371" s="115"/>
      <c r="J371" s="115"/>
      <c r="K371" s="115"/>
      <c r="L371" s="115"/>
    </row>
  </sheetData>
  <mergeCells count="141">
    <mergeCell ref="C344:L344"/>
    <mergeCell ref="C371:L371"/>
    <mergeCell ref="C338:L338"/>
    <mergeCell ref="C339:L339"/>
    <mergeCell ref="C340:L340"/>
    <mergeCell ref="C342:L342"/>
    <mergeCell ref="C343:L343"/>
    <mergeCell ref="C331:L331"/>
    <mergeCell ref="C332:L332"/>
    <mergeCell ref="C334:L334"/>
    <mergeCell ref="C335:L335"/>
    <mergeCell ref="C336:L336"/>
    <mergeCell ref="C324:L324"/>
    <mergeCell ref="C326:L326"/>
    <mergeCell ref="C327:L327"/>
    <mergeCell ref="C328:L328"/>
    <mergeCell ref="C330:L330"/>
    <mergeCell ref="C318:L318"/>
    <mergeCell ref="C319:L319"/>
    <mergeCell ref="C320:L320"/>
    <mergeCell ref="C322:L322"/>
    <mergeCell ref="C323:L323"/>
    <mergeCell ref="C311:L311"/>
    <mergeCell ref="H65:L65"/>
    <mergeCell ref="H157:L157"/>
    <mergeCell ref="C303:L303"/>
    <mergeCell ref="H14:L14"/>
    <mergeCell ref="H206:L206"/>
    <mergeCell ref="C123:L123"/>
    <mergeCell ref="H51:L51"/>
    <mergeCell ref="C290:L290"/>
    <mergeCell ref="C44:L44"/>
    <mergeCell ref="C145:L145"/>
    <mergeCell ref="C147:L147"/>
    <mergeCell ref="C3:L3"/>
    <mergeCell ref="H185:L185"/>
    <mergeCell ref="H194:L194"/>
    <mergeCell ref="H64:L64"/>
    <mergeCell ref="C294:L294"/>
    <mergeCell ref="H181:L181"/>
    <mergeCell ref="C22:L22"/>
    <mergeCell ref="H160:L160"/>
    <mergeCell ref="C5:L5"/>
    <mergeCell ref="C262:L262"/>
    <mergeCell ref="H196:L196"/>
    <mergeCell ref="H180:L180"/>
    <mergeCell ref="H56:L56"/>
    <mergeCell ref="C299:L299"/>
    <mergeCell ref="H78:L78"/>
    <mergeCell ref="C36:L36"/>
    <mergeCell ref="H154:L154"/>
    <mergeCell ref="C286:L286"/>
    <mergeCell ref="H165:L165"/>
    <mergeCell ref="C283:L283"/>
    <mergeCell ref="H62:L62"/>
    <mergeCell ref="H195:L195"/>
    <mergeCell ref="H67:L67"/>
    <mergeCell ref="H204:L204"/>
    <mergeCell ref="H8:L8"/>
    <mergeCell ref="H212:L212"/>
    <mergeCell ref="H54:L54"/>
    <mergeCell ref="H63:L63"/>
    <mergeCell ref="H10:L10"/>
    <mergeCell ref="H9:L9"/>
    <mergeCell ref="H191:L191"/>
    <mergeCell ref="H15:L15"/>
    <mergeCell ref="C298:L298"/>
    <mergeCell ref="H52:L52"/>
    <mergeCell ref="H61:L61"/>
    <mergeCell ref="H168:L168"/>
    <mergeCell ref="H73:L73"/>
    <mergeCell ref="H60:L60"/>
    <mergeCell ref="H13:L13"/>
    <mergeCell ref="H75:L75"/>
    <mergeCell ref="H183:L183"/>
    <mergeCell ref="H55:L55"/>
    <mergeCell ref="C121:L121"/>
    <mergeCell ref="H16:L16"/>
    <mergeCell ref="H192:L192"/>
    <mergeCell ref="H207:L207"/>
    <mergeCell ref="C267:L267"/>
    <mergeCell ref="C307:L307"/>
    <mergeCell ref="H153:L153"/>
    <mergeCell ref="C282:L282"/>
    <mergeCell ref="H70:L70"/>
    <mergeCell ref="H203:L203"/>
    <mergeCell ref="C278:L278"/>
    <mergeCell ref="H193:L193"/>
    <mergeCell ref="H187:L187"/>
    <mergeCell ref="H58:L58"/>
    <mergeCell ref="H155:L155"/>
    <mergeCell ref="H186:L186"/>
    <mergeCell ref="H164:L164"/>
    <mergeCell ref="H11:L11"/>
    <mergeCell ref="H152:L152"/>
    <mergeCell ref="H161:L161"/>
    <mergeCell ref="C302:L302"/>
    <mergeCell ref="H163:L163"/>
    <mergeCell ref="H76:L76"/>
    <mergeCell ref="H156:L156"/>
    <mergeCell ref="H188:L188"/>
    <mergeCell ref="H197:L197"/>
    <mergeCell ref="H243:L243"/>
    <mergeCell ref="H158:L158"/>
    <mergeCell ref="H57:L57"/>
    <mergeCell ref="H66:L66"/>
    <mergeCell ref="C270:L270"/>
    <mergeCell ref="C279:L279"/>
    <mergeCell ref="H72:L72"/>
    <mergeCell ref="H53:L53"/>
    <mergeCell ref="C18:L18"/>
    <mergeCell ref="C266:L266"/>
    <mergeCell ref="C275:L275"/>
    <mergeCell ref="H77:L77"/>
    <mergeCell ref="H184:L184"/>
    <mergeCell ref="H162:L162"/>
    <mergeCell ref="H174:L174"/>
    <mergeCell ref="H59:L59"/>
    <mergeCell ref="H68:L68"/>
    <mergeCell ref="C263:L263"/>
    <mergeCell ref="H173:L173"/>
    <mergeCell ref="H79:L79"/>
    <mergeCell ref="H167:L167"/>
    <mergeCell ref="H190:L190"/>
    <mergeCell ref="H179:L179"/>
    <mergeCell ref="C287:L287"/>
    <mergeCell ref="C274:L274"/>
    <mergeCell ref="H71:L71"/>
    <mergeCell ref="C314:L314"/>
    <mergeCell ref="H69:L69"/>
    <mergeCell ref="H198:L198"/>
    <mergeCell ref="H244:L244"/>
    <mergeCell ref="H182:L182"/>
    <mergeCell ref="C295:L295"/>
    <mergeCell ref="C291:L291"/>
    <mergeCell ref="C306:L306"/>
    <mergeCell ref="C310:L310"/>
    <mergeCell ref="H166:L166"/>
    <mergeCell ref="H74:L74"/>
    <mergeCell ref="C271:L271"/>
    <mergeCell ref="H205:L205"/>
  </mergeCells>
  <conditionalFormatting sqref="G185:G208">
    <cfRule type="containsText" dxfId="2" priority="1" operator="containsText" text="FAIL"/>
  </conditionalFormatting>
  <conditionalFormatting sqref="G218:G241">
    <cfRule type="containsText" dxfId="1" priority="2" operator="containsText" text="FAIL"/>
  </conditionalFormatting>
  <conditionalFormatting sqref="G248:G257">
    <cfRule type="containsText" dxfId="0" priority="3" operator="containsText" text="FAIL"/>
  </conditionalFormatting>
  <hyperlinks>
    <hyperlink ref="C4" location="'00 Cover'!C2" display="Return to Cover" xr:uid="{00000000-0004-0000-0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00 Cover</vt:lpstr>
      <vt:lpstr>01 Assumptions</vt:lpstr>
      <vt:lpstr>02 Model</vt:lpstr>
      <vt:lpstr>03 Schedules</vt:lpstr>
      <vt:lpstr>04 Audit &amp; Sources</vt:lpstr>
      <vt:lpstr>05 DCF Valuation</vt:lpstr>
      <vt:lpstr>'00 Cover'!Print_Area</vt:lpstr>
      <vt:lpstr>'01 Assumptions'!Print_Area</vt:lpstr>
      <vt:lpstr>'02 Model'!Print_Area</vt:lpstr>
      <vt:lpstr>'03 Schedules'!Print_Area</vt:lpstr>
      <vt:lpstr>'04 Audit &amp; Sources'!Print_Area</vt:lpstr>
      <vt:lpstr>'05 DCF Valuation'!Print_Area</vt:lpstr>
      <vt:lpstr>'01 Assumptions'!Print_Titles</vt:lpstr>
      <vt:lpstr>'02 Model'!Print_Titles</vt:lpstr>
      <vt:lpstr>'03 Schedules'!Print_Titles</vt:lpstr>
      <vt:lpstr>'04 Audit &amp; Sources'!Print_Titles</vt:lpstr>
      <vt:lpstr>'05 DCF Valuation'!Print_Titles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Obinna Chibuike Joshua Okey-Udeji</cp:lastModifiedBy>
  <dcterms:created xsi:type="dcterms:W3CDTF">2026-09-08T01:09:16Z</dcterms:created>
  <dcterms:modified xsi:type="dcterms:W3CDTF">2026-09-10T11:53:41Z</dcterms:modified>
</cp:coreProperties>
</file>